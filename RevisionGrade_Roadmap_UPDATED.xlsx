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README" sheetId="1" state="visible" r:id="rId1"/>
    <sheet xmlns:r="http://schemas.openxmlformats.org/officeDocument/2006/relationships" name="Overview" sheetId="2" state="visible" r:id="rId2"/>
    <sheet xmlns:r="http://schemas.openxmlformats.org/officeDocument/2006/relationships" name="Roadmap" sheetId="3" state="visible" r:id="rId3"/>
    <sheet xmlns:r="http://schemas.openxmlformats.org/officeDocument/2006/relationships" name="Sprint 0 (Phase 2)" sheetId="4" state="visible" r:id="rId4"/>
    <sheet xmlns:r="http://schemas.openxmlformats.org/officeDocument/2006/relationships" name="Immediate Priorities" sheetId="5" state="visible" r:id="rId5"/>
    <sheet xmlns:r="http://schemas.openxmlformats.org/officeDocument/2006/relationships" name="Canon Reference" sheetId="6" state="visible" r:id="rId6"/>
  </sheets>
  <definedNames>
    <definedName name="_xlnm._FilterDatabase" localSheetId="2" hidden="1">'Roadmap'!$A$1:$R$45</definedName>
    <definedName name="_xlnm._FilterDatabase" localSheetId="3" hidden="1">'Sprint 0 (Phase 2)'!$A$1:$J$14</definedName>
  </definedNames>
  <calcPr calcId="124519" fullCalcOnLoad="1" refMode="A1" iterate="0" iterateCount="100" iterateDelta="0.0001"/>
</workbook>
</file>

<file path=xl/styles.xml><?xml version="1.0" encoding="utf-8"?>
<styleSheet xmlns="http://schemas.openxmlformats.org/spreadsheetml/2006/main">
  <numFmts count="0"/>
  <fonts count="30">
    <font>
      <name val="Calibri"/>
      <charset val="1"/>
      <family val="2"/>
      <color theme="1"/>
      <sz val="11"/>
    </font>
    <font>
      <name val="Arial"/>
      <family val="0"/>
      <sz val="10"/>
    </font>
    <font>
      <name val="Arial"/>
      <family val="0"/>
      <sz val="10"/>
    </font>
    <font>
      <name val="Arial"/>
      <family val="0"/>
      <sz val="10"/>
    </font>
    <font>
      <name val="Calibri"/>
      <charset val="1"/>
      <family val="0"/>
      <b val="1"/>
      <color rgb="FF0C4E54"/>
      <sz val="20"/>
    </font>
    <font>
      <name val="Calibri"/>
      <charset val="1"/>
      <family val="0"/>
      <i val="1"/>
      <color rgb="FF7A7974"/>
      <sz val="11"/>
    </font>
    <font>
      <name val="Calibri"/>
      <charset val="1"/>
      <family val="0"/>
      <color rgb="FF7A7974"/>
      <sz val="9"/>
    </font>
    <font>
      <name val="Calibri"/>
      <charset val="1"/>
      <family val="0"/>
      <b val="1"/>
      <color rgb="FF0C4E54"/>
      <sz val="12"/>
    </font>
    <font>
      <name val="Calibri"/>
      <charset val="1"/>
      <family val="0"/>
      <b val="1"/>
      <color rgb="FFFFFFFF"/>
      <sz val="9"/>
    </font>
    <font>
      <name val="Calibri"/>
      <charset val="1"/>
      <family val="0"/>
      <b val="1"/>
      <color rgb="FF437A22"/>
      <sz val="22"/>
    </font>
    <font>
      <name val="Calibri"/>
      <charset val="1"/>
      <family val="0"/>
      <b val="1"/>
      <color rgb="FF006494"/>
      <sz val="22"/>
    </font>
    <font>
      <name val="Calibri"/>
      <charset val="1"/>
      <family val="0"/>
      <b val="1"/>
      <color rgb="FF964219"/>
      <sz val="22"/>
    </font>
    <font>
      <name val="Calibri"/>
      <charset val="1"/>
      <family val="0"/>
      <b val="1"/>
      <color rgb="FF7A39BB"/>
      <sz val="22"/>
    </font>
    <font>
      <name val="Calibri"/>
      <charset val="1"/>
      <family val="0"/>
      <b val="1"/>
      <color rgb="FF7A7974"/>
      <sz val="22"/>
    </font>
    <font>
      <name val="Calibri"/>
      <charset val="1"/>
      <family val="0"/>
      <b val="1"/>
      <color rgb="FF0C4E54"/>
      <sz val="22"/>
    </font>
    <font>
      <name val="Calibri"/>
      <charset val="1"/>
      <family val="0"/>
      <b val="1"/>
      <color rgb="FFFFFFFF"/>
      <sz val="10"/>
    </font>
    <font>
      <name val="Calibri"/>
      <charset val="1"/>
      <family val="0"/>
      <b val="1"/>
      <color rgb="FF28251D"/>
      <sz val="10"/>
    </font>
    <font>
      <name val="Calibri"/>
      <charset val="1"/>
      <family val="0"/>
      <color rgb="FF28251D"/>
      <sz val="10"/>
    </font>
    <font>
      <name val="Calibri"/>
      <charset val="1"/>
      <family val="0"/>
      <b val="1"/>
      <color rgb="FF01696F"/>
      <sz val="10"/>
    </font>
    <font>
      <name val="Calibri"/>
      <charset val="1"/>
      <family val="0"/>
      <color rgb="FF0000FF"/>
      <sz val="10"/>
      <u val="single"/>
    </font>
    <font>
      <name val="Calibri"/>
      <charset val="1"/>
      <family val="0"/>
      <color rgb="FF7A7974"/>
      <sz val="10"/>
    </font>
    <font>
      <name val="Calibri"/>
      <charset val="1"/>
      <family val="0"/>
      <b val="1"/>
      <color rgb="FF964219"/>
      <sz val="10"/>
    </font>
    <font>
      <name val="Calibri"/>
      <charset val="1"/>
      <family val="0"/>
      <b val="1"/>
      <color rgb="FFA13544"/>
      <sz val="10"/>
    </font>
    <font>
      <name val="Calibri"/>
      <charset val="1"/>
      <family val="0"/>
      <b val="1"/>
      <color rgb="FF437A22"/>
      <sz val="10"/>
    </font>
    <font>
      <name val="Calibri"/>
      <charset val="1"/>
      <family val="0"/>
      <b val="1"/>
      <color rgb="FF006494"/>
      <sz val="10"/>
    </font>
    <font>
      <name val="Calibri"/>
      <charset val="1"/>
      <family val="0"/>
      <b val="1"/>
      <color rgb="FF7A39BB"/>
      <sz val="10"/>
    </font>
    <font>
      <name val="Calibri"/>
      <charset val="1"/>
      <family val="0"/>
      <b val="1"/>
      <color rgb="FF7A7974"/>
      <sz val="10"/>
    </font>
    <font>
      <name val="Calibri"/>
      <charset val="1"/>
      <family val="0"/>
      <sz val="10"/>
    </font>
    <font>
      <name val="Calibri"/>
      <charset val="1"/>
      <family val="0"/>
      <b val="1"/>
      <color rgb="FF0C4E54"/>
      <sz val="16"/>
    </font>
    <font>
      <name val="Calibri"/>
      <charset val="1"/>
      <family val="0"/>
      <i val="1"/>
      <color rgb="FF7A7974"/>
      <sz val="10"/>
    </font>
  </fonts>
  <fills count="16">
    <fill>
      <patternFill/>
    </fill>
    <fill>
      <patternFill patternType="gray125"/>
    </fill>
    <fill>
      <patternFill patternType="solid">
        <fgColor rgb="FFFFFF00"/>
        <bgColor rgb="FFFFFF00"/>
      </patternFill>
    </fill>
    <fill>
      <patternFill patternType="solid">
        <fgColor rgb="FF437A22"/>
        <bgColor rgb="FF808000"/>
      </patternFill>
    </fill>
    <fill>
      <patternFill patternType="solid">
        <fgColor rgb="FF006494"/>
        <bgColor rgb="FF01696F"/>
      </patternFill>
    </fill>
    <fill>
      <patternFill patternType="solid">
        <fgColor rgb="FF964219"/>
        <bgColor rgb="FFA13544"/>
      </patternFill>
    </fill>
    <fill>
      <patternFill patternType="solid">
        <fgColor rgb="FF7A39BB"/>
        <bgColor rgb="FF666699"/>
      </patternFill>
    </fill>
    <fill>
      <patternFill patternType="solid">
        <fgColor rgb="FF7A7974"/>
        <bgColor rgb="FF666699"/>
      </patternFill>
    </fill>
    <fill>
      <patternFill patternType="solid">
        <fgColor rgb="FF0C4E54"/>
        <bgColor rgb="FF01696F"/>
      </patternFill>
    </fill>
    <fill>
      <patternFill patternType="solid">
        <fgColor rgb="FFF7F6F2"/>
        <bgColor rgb="FFF0F0EE"/>
      </patternFill>
    </fill>
    <fill>
      <patternFill patternType="solid">
        <fgColor rgb="FFE8F2F3"/>
        <bgColor rgb="FFF0F0EE"/>
      </patternFill>
    </fill>
    <fill>
      <patternFill patternType="solid">
        <fgColor rgb="FFFFF3E0"/>
        <bgColor rgb="FFF7F6F2"/>
      </patternFill>
    </fill>
    <fill>
      <patternFill patternType="solid">
        <fgColor rgb="FFE8F5E0"/>
        <bgColor rgb="FFE8F2F3"/>
      </patternFill>
    </fill>
    <fill>
      <patternFill patternType="solid">
        <fgColor rgb="FFDEEEF8"/>
        <bgColor rgb="FFE8F2F3"/>
      </patternFill>
    </fill>
    <fill>
      <patternFill patternType="solid">
        <fgColor rgb="FFF3E8FF"/>
        <bgColor rgb="FFF0F0EE"/>
      </patternFill>
    </fill>
    <fill>
      <patternFill patternType="solid">
        <fgColor rgb="FFF0F0EE"/>
        <bgColor rgb="FFE8F2F3"/>
      </patternFill>
    </fill>
  </fills>
  <borders count="7">
    <border>
      <left/>
      <right/>
      <top/>
      <bottom/>
      <diagonal/>
    </border>
    <border>
      <left style="thin">
        <color rgb="FFD4D1CA"/>
      </left>
      <right style="thin">
        <color rgb="FFD4D1CA"/>
      </right>
      <top style="thin">
        <color rgb="FFD4D1CA"/>
      </top>
      <bottom style="thin">
        <color rgb="FFD4D1CA"/>
      </bottom>
      <diagonal/>
    </border>
    <border>
      <left style="thin">
        <color rgb="FFD4D1CA"/>
      </left>
      <right/>
      <top style="thin">
        <color rgb="FFD4D1CA"/>
      </top>
      <bottom style="thin">
        <color rgb="FFD4D1CA"/>
      </bottom>
      <diagonal/>
    </border>
    <border>
      <left/>
      <right/>
      <top style="thin">
        <color rgb="FFD4D1CA"/>
      </top>
      <bottom style="thin">
        <color rgb="FFD4D1CA"/>
      </bottom>
      <diagonal/>
    </border>
    <border>
      <left/>
      <right/>
      <top style="thin">
        <color rgb="FFD4D1CA"/>
      </top>
      <bottom/>
      <diagonal/>
    </border>
    <border>
      <left/>
      <right style="thin">
        <color rgb="FFD4D1CA"/>
      </right>
      <top style="thin">
        <color rgb="FFD4D1CA"/>
      </top>
      <bottom/>
      <diagonal/>
    </border>
    <border>
      <left/>
      <right style="thin">
        <color rgb="FFD4D1CA"/>
      </right>
      <top style="thin">
        <color rgb="FFD4D1CA"/>
      </top>
      <bottom style="thin">
        <color rgb="FFD4D1C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1" fontId="9" fillId="0" borderId="1" applyAlignment="1" pivotButton="0" quotePrefix="0" xfId="0">
      <alignment horizontal="center" vertical="center"/>
    </xf>
    <xf numFmtId="1" fontId="10" fillId="0" borderId="1" applyAlignment="1" pivotButton="0" quotePrefix="0" xfId="0">
      <alignment horizontal="center" vertical="center"/>
    </xf>
    <xf numFmtId="1" fontId="11" fillId="0" borderId="1" applyAlignment="1" pivotButton="0" quotePrefix="0" xfId="0">
      <alignment horizontal="center" vertical="center"/>
    </xf>
    <xf numFmtId="1" fontId="12" fillId="0" borderId="1" applyAlignment="1" pivotButton="0" quotePrefix="0" xfId="0">
      <alignment horizontal="center" vertical="center"/>
    </xf>
    <xf numFmtId="1" fontId="13" fillId="0" borderId="1" applyAlignment="1" pivotButton="0" quotePrefix="0" xfId="0">
      <alignment horizontal="center" vertical="center"/>
    </xf>
    <xf numFmtId="1" fontId="14" fillId="0" borderId="1" applyAlignment="1" pivotButton="0" quotePrefix="0" xfId="0">
      <alignment horizontal="center" vertical="center"/>
    </xf>
    <xf numFmtId="0" fontId="15" fillId="8" borderId="1" applyAlignment="1" pivotButton="0" quotePrefix="0" xfId="0">
      <alignment horizontal="center" vertical="center"/>
    </xf>
    <xf numFmtId="0" fontId="16" fillId="0" borderId="1" applyAlignment="1" pivotButton="0" quotePrefix="0" xfId="0">
      <alignment horizontal="center" vertical="center"/>
    </xf>
    <xf numFmtId="0" fontId="17" fillId="0" borderId="1" applyAlignment="1" pivotButton="0" quotePrefix="0" xfId="0">
      <alignment horizontal="left" vertical="center" indent="1"/>
    </xf>
    <xf numFmtId="1" fontId="17" fillId="0" borderId="1" applyAlignment="1" pivotButton="0" quotePrefix="0" xfId="0">
      <alignment horizontal="center" vertical="center"/>
    </xf>
    <xf numFmtId="9" fontId="18" fillId="0" borderId="1" applyAlignment="1" pivotButton="0" quotePrefix="0" xfId="0">
      <alignment horizontal="center" vertical="center"/>
    </xf>
    <xf numFmtId="0" fontId="16" fillId="9" borderId="1" applyAlignment="1" pivotButton="0" quotePrefix="0" xfId="0">
      <alignment horizontal="center" vertical="center"/>
    </xf>
    <xf numFmtId="0" fontId="17" fillId="9" borderId="1" applyAlignment="1" pivotButton="0" quotePrefix="0" xfId="0">
      <alignment horizontal="left" vertical="center" indent="1"/>
    </xf>
    <xf numFmtId="1" fontId="17" fillId="9" borderId="1" applyAlignment="1" pivotButton="0" quotePrefix="0" xfId="0">
      <alignment horizontal="center" vertical="center"/>
    </xf>
    <xf numFmtId="9" fontId="18" fillId="9" borderId="1" applyAlignment="1" pivotButton="0" quotePrefix="0" xfId="0">
      <alignment horizontal="center" vertical="center"/>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15" fillId="8" borderId="1" applyAlignment="1" pivotButton="0" quotePrefix="0" xfId="0">
      <alignment horizontal="center" vertical="center" wrapText="1"/>
    </xf>
    <xf numFmtId="0" fontId="17" fillId="10" borderId="1" applyAlignment="1" pivotButton="0" quotePrefix="0" xfId="0">
      <alignment horizontal="center" vertical="top"/>
    </xf>
    <xf numFmtId="0" fontId="16" fillId="10" borderId="1" applyAlignment="1" pivotButton="0" quotePrefix="0" xfId="0">
      <alignment horizontal="center" vertical="top"/>
    </xf>
    <xf numFmtId="0" fontId="16" fillId="10" borderId="1" applyAlignment="1" pivotButton="0" quotePrefix="0" xfId="0">
      <alignment horizontal="general" vertical="top" wrapText="1"/>
    </xf>
    <xf numFmtId="0" fontId="0" fillId="10" borderId="1" applyAlignment="1" pivotButton="0" quotePrefix="0" xfId="0">
      <alignment horizontal="general" vertical="bottom"/>
    </xf>
    <xf numFmtId="0" fontId="21" fillId="11" borderId="1" applyAlignment="1" pivotButton="0" quotePrefix="0" xfId="0">
      <alignment horizontal="center" vertical="top"/>
    </xf>
    <xf numFmtId="0" fontId="22" fillId="10" borderId="1" applyAlignment="1" pivotButton="0" quotePrefix="0" xfId="0">
      <alignment horizontal="center" vertical="top"/>
    </xf>
    <xf numFmtId="0" fontId="17" fillId="10" borderId="1" applyAlignment="1" pivotButton="0" quotePrefix="0" xfId="0">
      <alignment horizontal="left" vertical="top" wrapText="1" indent="1"/>
    </xf>
    <xf numFmtId="0" fontId="17" fillId="10" borderId="1" applyAlignment="1" pivotButton="0" quotePrefix="0" xfId="0">
      <alignment horizontal="center" vertical="top" wrapText="1"/>
    </xf>
    <xf numFmtId="0" fontId="6" fillId="10" borderId="1" applyAlignment="1" pivotButton="0" quotePrefix="0" xfId="0">
      <alignment horizontal="left" vertical="top" wrapText="1" indent="1"/>
    </xf>
    <xf numFmtId="0" fontId="21" fillId="10" borderId="1" applyAlignment="1" pivotButton="0" quotePrefix="0" xfId="0">
      <alignment horizontal="center" vertical="top"/>
    </xf>
    <xf numFmtId="0" fontId="17" fillId="9" borderId="1" applyAlignment="1" pivotButton="0" quotePrefix="0" xfId="0">
      <alignment horizontal="center" vertical="top" wrapText="1"/>
    </xf>
    <xf numFmtId="0" fontId="17" fillId="9" borderId="1" applyAlignment="1" pivotButton="0" quotePrefix="0" xfId="0">
      <alignment horizontal="general" vertical="top" wrapText="1"/>
    </xf>
    <xf numFmtId="0" fontId="23" fillId="12" borderId="1" applyAlignment="1" pivotButton="0" quotePrefix="0" xfId="0">
      <alignment horizontal="center" vertical="top" wrapText="1"/>
    </xf>
    <xf numFmtId="0" fontId="22" fillId="9" borderId="1" applyAlignment="1" pivotButton="0" quotePrefix="0" xfId="0">
      <alignment horizontal="center" vertical="top" wrapText="1"/>
    </xf>
    <xf numFmtId="0" fontId="17" fillId="9"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17" fillId="0" borderId="1" applyAlignment="1" pivotButton="0" quotePrefix="0" xfId="0">
      <alignment horizontal="center" vertical="top" wrapText="1"/>
    </xf>
    <xf numFmtId="0" fontId="17" fillId="0" borderId="1" applyAlignment="1" pivotButton="0" quotePrefix="0" xfId="0">
      <alignment horizontal="general" vertical="top" wrapText="1"/>
    </xf>
    <xf numFmtId="0" fontId="22" fillId="0" borderId="1" applyAlignment="1" pivotButton="0" quotePrefix="0" xfId="0">
      <alignment horizontal="center" vertical="top" wrapText="1"/>
    </xf>
    <xf numFmtId="0" fontId="17" fillId="0" borderId="1" applyAlignment="1" pivotButton="0" quotePrefix="0" xfId="0">
      <alignment horizontal="left" vertical="top" wrapText="1" indent="1"/>
    </xf>
    <xf numFmtId="0" fontId="24" fillId="13" borderId="1" applyAlignment="1" pivotButton="0" quotePrefix="0" xfId="0">
      <alignment horizontal="center" vertical="top" wrapText="1"/>
    </xf>
    <xf numFmtId="0" fontId="21" fillId="11" borderId="1" applyAlignment="1" pivotButton="0" quotePrefix="0" xfId="0">
      <alignment horizontal="center" vertical="top" wrapText="1"/>
    </xf>
    <xf numFmtId="0" fontId="21" fillId="0" borderId="1" applyAlignment="1" pivotButton="0" quotePrefix="0" xfId="0">
      <alignment horizontal="center" vertical="top" wrapText="1"/>
    </xf>
    <xf numFmtId="0" fontId="21" fillId="9" borderId="1" applyAlignment="1" pivotButton="0" quotePrefix="0" xfId="0">
      <alignment horizontal="center" vertical="top" wrapText="1"/>
    </xf>
    <xf numFmtId="0" fontId="25" fillId="14" borderId="1" applyAlignment="1" pivotButton="0" quotePrefix="0" xfId="0">
      <alignment horizontal="center" vertical="top" wrapText="1"/>
    </xf>
    <xf numFmtId="0" fontId="24" fillId="9" borderId="1" applyAlignment="1" pivotButton="0" quotePrefix="0" xfId="0">
      <alignment horizontal="center" vertical="top" wrapText="1"/>
    </xf>
    <xf numFmtId="0" fontId="24" fillId="0" borderId="1" applyAlignment="1" pivotButton="0" quotePrefix="0" xfId="0">
      <alignment horizontal="center" vertical="top" wrapText="1"/>
    </xf>
    <xf numFmtId="0" fontId="26" fillId="15" borderId="1" applyAlignment="1" pivotButton="0" quotePrefix="0" xfId="0">
      <alignment horizontal="center" vertical="top" wrapText="1"/>
    </xf>
    <xf numFmtId="0" fontId="17" fillId="0" borderId="1" applyAlignment="1" pivotButton="0" quotePrefix="0" xfId="0">
      <alignment horizontal="center" vertical="top"/>
    </xf>
    <xf numFmtId="0" fontId="16" fillId="0" borderId="1" applyAlignment="1" pivotButton="0" quotePrefix="0" xfId="0">
      <alignment horizontal="general" vertical="top" wrapText="1"/>
    </xf>
    <xf numFmtId="0" fontId="0" fillId="0" borderId="1" applyAlignment="1" pivotButton="0" quotePrefix="0" xfId="0">
      <alignment horizontal="general" vertical="bottom"/>
    </xf>
    <xf numFmtId="0" fontId="25" fillId="14" borderId="1" applyAlignment="1" pivotButton="0" quotePrefix="0" xfId="0">
      <alignment horizontal="center" vertical="top"/>
    </xf>
    <xf numFmtId="0" fontId="21" fillId="0" borderId="1" applyAlignment="1" pivotButton="0" quotePrefix="0" xfId="0">
      <alignment horizontal="center" vertical="top"/>
    </xf>
    <xf numFmtId="0" fontId="17" fillId="9" borderId="1" applyAlignment="1" pivotButton="0" quotePrefix="0" xfId="0">
      <alignment horizontal="center" vertical="top"/>
    </xf>
    <xf numFmtId="0" fontId="16" fillId="9" borderId="1" applyAlignment="1" pivotButton="0" quotePrefix="0" xfId="0">
      <alignment horizontal="general" vertical="top" wrapText="1"/>
    </xf>
    <xf numFmtId="0" fontId="0" fillId="9" borderId="1" applyAlignment="1" pivotButton="0" quotePrefix="0" xfId="0">
      <alignment horizontal="general" vertical="bottom"/>
    </xf>
    <xf numFmtId="0" fontId="21" fillId="9" borderId="1" applyAlignment="1" pivotButton="0" quotePrefix="0" xfId="0">
      <alignment horizontal="center" vertical="top"/>
    </xf>
    <xf numFmtId="0" fontId="6" fillId="9" borderId="1" applyAlignment="1" pivotButton="0" quotePrefix="0" xfId="0">
      <alignment horizontal="left" vertical="top" wrapText="1" indent="1"/>
    </xf>
    <xf numFmtId="0" fontId="24" fillId="0" borderId="1" applyAlignment="1" pivotButton="0" quotePrefix="0" xfId="0">
      <alignment horizontal="center" vertical="top"/>
    </xf>
    <xf numFmtId="0" fontId="24" fillId="9" borderId="1" applyAlignment="1" pivotButton="0" quotePrefix="0" xfId="0">
      <alignment horizontal="center" vertical="top"/>
    </xf>
    <xf numFmtId="0" fontId="26" fillId="15" borderId="1" applyAlignment="1" pivotButton="0" quotePrefix="0" xfId="0">
      <alignment horizontal="center" vertical="top"/>
    </xf>
    <xf numFmtId="0" fontId="26" fillId="9" borderId="1" applyAlignment="1" pivotButton="0" quotePrefix="0" xfId="0">
      <alignment horizontal="center" vertical="top"/>
    </xf>
    <xf numFmtId="0" fontId="27" fillId="0" borderId="0" applyAlignment="1" pivotButton="0" quotePrefix="0" xfId="0">
      <alignment horizontal="general" vertical="bottom"/>
    </xf>
    <xf numFmtId="0" fontId="17" fillId="10" borderId="1" applyAlignment="1" pivotButton="0" quotePrefix="0" xfId="0">
      <alignment horizontal="general" vertical="top" wrapText="1"/>
    </xf>
    <xf numFmtId="0" fontId="27" fillId="0" borderId="0" applyAlignment="1" pivotButton="0" quotePrefix="0" xfId="0">
      <alignment horizontal="general" vertical="bottom"/>
    </xf>
    <xf numFmtId="0" fontId="18" fillId="0" borderId="1" applyAlignment="1" pivotButton="0" quotePrefix="0" xfId="0">
      <alignment horizontal="left" vertical="top"/>
    </xf>
    <xf numFmtId="0" fontId="17" fillId="0" borderId="2" applyAlignment="1" pivotButton="0" quotePrefix="0" xfId="0">
      <alignment horizontal="left" vertical="top" wrapText="1" indent="1"/>
    </xf>
    <xf numFmtId="0" fontId="0" fillId="0" borderId="3"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20" fillId="0" borderId="2" applyAlignment="1" pivotButton="0" quotePrefix="0" xfId="0">
      <alignment horizontal="left" vertical="top" wrapText="1" indent="1"/>
    </xf>
    <xf numFmtId="0" fontId="16" fillId="0" borderId="1" applyAlignment="1" pivotButton="0" quotePrefix="0" xfId="0">
      <alignment horizontal="left" vertical="top" indent="1"/>
    </xf>
    <xf numFmtId="0" fontId="16" fillId="0" borderId="1" applyAlignment="1" pivotButton="0" quotePrefix="0" xfId="0">
      <alignment horizontal="left" vertical="top" indent="2"/>
    </xf>
    <xf numFmtId="0" fontId="16" fillId="0" borderId="1" applyAlignment="1" pivotButton="0" quotePrefix="0" xfId="0">
      <alignment horizontal="left" vertical="top" indent="3"/>
    </xf>
    <xf numFmtId="0" fontId="16" fillId="0" borderId="1" applyAlignment="1" pivotButton="0" quotePrefix="0" xfId="0">
      <alignment horizontal="left" vertical="top" indent="4"/>
    </xf>
    <xf numFmtId="0" fontId="16" fillId="0" borderId="1" applyAlignment="1" pivotButton="0" quotePrefix="0" xfId="0">
      <alignment horizontal="left" vertical="top" indent="5"/>
    </xf>
    <xf numFmtId="0" fontId="16" fillId="0" borderId="1" applyAlignment="1" pivotButton="0" quotePrefix="0" xfId="0">
      <alignment horizontal="left" vertical="top" indent="6"/>
    </xf>
    <xf numFmtId="0" fontId="16" fillId="0" borderId="1" applyAlignment="1" pivotButton="0" quotePrefix="0" xfId="0">
      <alignment horizontal="left" vertical="top" indent="7"/>
    </xf>
    <xf numFmtId="0" fontId="16" fillId="0" borderId="1" applyAlignment="1" pivotButton="0" quotePrefix="0" xfId="0">
      <alignment horizontal="left" vertical="top" indent="8"/>
    </xf>
    <xf numFmtId="0" fontId="6" fillId="9" borderId="1" applyAlignment="1" pivotButton="0" quotePrefix="0" xfId="0">
      <alignment horizontal="center" vertical="center"/>
    </xf>
    <xf numFmtId="0" fontId="6" fillId="0" borderId="1" applyAlignment="1" pivotButton="0" quotePrefix="0" xfId="0">
      <alignment horizontal="center" vertical="center"/>
    </xf>
    <xf numFmtId="0" fontId="18" fillId="0"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0" fillId="2" borderId="0" applyAlignment="1" pivotButton="0" quotePrefix="0" xfId="0">
      <alignment horizontal="general" vertical="bottom"/>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1" fontId="9" fillId="0" borderId="1" applyAlignment="1" pivotButton="0" quotePrefix="0" xfId="0">
      <alignment horizontal="center" vertical="center"/>
    </xf>
    <xf numFmtId="1" fontId="10" fillId="0" borderId="1" applyAlignment="1" pivotButton="0" quotePrefix="0" xfId="0">
      <alignment horizontal="center" vertical="center"/>
    </xf>
    <xf numFmtId="1" fontId="11" fillId="0" borderId="1" applyAlignment="1" pivotButton="0" quotePrefix="0" xfId="0">
      <alignment horizontal="center" vertical="center"/>
    </xf>
    <xf numFmtId="1" fontId="12" fillId="0" borderId="1" applyAlignment="1" pivotButton="0" quotePrefix="0" xfId="0">
      <alignment horizontal="center" vertical="center"/>
    </xf>
    <xf numFmtId="1" fontId="13" fillId="0" borderId="1" applyAlignment="1" pivotButton="0" quotePrefix="0" xfId="0">
      <alignment horizontal="center" vertical="center"/>
    </xf>
    <xf numFmtId="1" fontId="14" fillId="0" borderId="1" applyAlignment="1" pivotButton="0" quotePrefix="0" xfId="0">
      <alignment horizontal="center" vertical="center"/>
    </xf>
    <xf numFmtId="0" fontId="15" fillId="8" borderId="1" applyAlignment="1" pivotButton="0" quotePrefix="0" xfId="0">
      <alignment horizontal="center" vertical="center"/>
    </xf>
    <xf numFmtId="0" fontId="16" fillId="0" borderId="1" applyAlignment="1" pivotButton="0" quotePrefix="0" xfId="0">
      <alignment horizontal="center" vertical="center"/>
    </xf>
    <xf numFmtId="0" fontId="17" fillId="0" borderId="1" applyAlignment="1" pivotButton="0" quotePrefix="0" xfId="0">
      <alignment horizontal="left" vertical="center" indent="1"/>
    </xf>
    <xf numFmtId="1" fontId="17" fillId="0" borderId="1" applyAlignment="1" pivotButton="0" quotePrefix="0" xfId="0">
      <alignment horizontal="center" vertical="center"/>
    </xf>
    <xf numFmtId="9" fontId="18" fillId="0" borderId="1" applyAlignment="1" pivotButton="0" quotePrefix="0" xfId="0">
      <alignment horizontal="center" vertical="center"/>
    </xf>
    <xf numFmtId="0" fontId="16" fillId="9" borderId="1" applyAlignment="1" pivotButton="0" quotePrefix="0" xfId="0">
      <alignment horizontal="center" vertical="center"/>
    </xf>
    <xf numFmtId="0" fontId="17" fillId="9" borderId="1" applyAlignment="1" pivotButton="0" quotePrefix="0" xfId="0">
      <alignment horizontal="left" vertical="center" indent="1"/>
    </xf>
    <xf numFmtId="1" fontId="17" fillId="9" borderId="1" applyAlignment="1" pivotButton="0" quotePrefix="0" xfId="0">
      <alignment horizontal="center" vertical="center"/>
    </xf>
    <xf numFmtId="9" fontId="18" fillId="9" borderId="1" applyAlignment="1" pivotButton="0" quotePrefix="0" xfId="0">
      <alignment horizontal="center" vertical="center"/>
    </xf>
    <xf numFmtId="0" fontId="19" fillId="0" borderId="0" applyAlignment="1" pivotButton="0" quotePrefix="0" xfId="0">
      <alignment horizontal="general" vertical="bottom"/>
    </xf>
    <xf numFmtId="0" fontId="20" fillId="0" borderId="0" applyAlignment="1" pivotButton="0" quotePrefix="0" xfId="0">
      <alignment horizontal="general" vertical="bottom"/>
    </xf>
    <xf numFmtId="0" fontId="15" fillId="8" borderId="1" applyAlignment="1" pivotButton="0" quotePrefix="0" xfId="0">
      <alignment horizontal="center" vertical="center" wrapText="1"/>
    </xf>
    <xf numFmtId="0" fontId="17" fillId="10" borderId="1" applyAlignment="1" pivotButton="0" quotePrefix="0" xfId="0">
      <alignment horizontal="center" vertical="top"/>
    </xf>
    <xf numFmtId="0" fontId="16" fillId="10" borderId="1" applyAlignment="1" pivotButton="0" quotePrefix="0" xfId="0">
      <alignment horizontal="center" vertical="top"/>
    </xf>
    <xf numFmtId="0" fontId="16" fillId="10" borderId="1" applyAlignment="1" pivotButton="0" quotePrefix="0" xfId="0">
      <alignment horizontal="general" vertical="top" wrapText="1"/>
    </xf>
    <xf numFmtId="0" fontId="0" fillId="10" borderId="1" applyAlignment="1" pivotButton="0" quotePrefix="0" xfId="0">
      <alignment horizontal="general" vertical="bottom"/>
    </xf>
    <xf numFmtId="0" fontId="21" fillId="11" borderId="1" applyAlignment="1" pivotButton="0" quotePrefix="0" xfId="0">
      <alignment horizontal="center" vertical="top"/>
    </xf>
    <xf numFmtId="0" fontId="22" fillId="10" borderId="1" applyAlignment="1" pivotButton="0" quotePrefix="0" xfId="0">
      <alignment horizontal="center" vertical="top"/>
    </xf>
    <xf numFmtId="0" fontId="17" fillId="10" borderId="1" applyAlignment="1" pivotButton="0" quotePrefix="0" xfId="0">
      <alignment horizontal="left" vertical="top" wrapText="1" indent="1"/>
    </xf>
    <xf numFmtId="0" fontId="17" fillId="10" borderId="1" applyAlignment="1" pivotButton="0" quotePrefix="0" xfId="0">
      <alignment horizontal="center" vertical="top" wrapText="1"/>
    </xf>
    <xf numFmtId="0" fontId="6" fillId="10" borderId="1" applyAlignment="1" pivotButton="0" quotePrefix="0" xfId="0">
      <alignment horizontal="left" vertical="top" wrapText="1" indent="1"/>
    </xf>
    <xf numFmtId="0" fontId="21" fillId="10" borderId="1" applyAlignment="1" pivotButton="0" quotePrefix="0" xfId="0">
      <alignment horizontal="center" vertical="top"/>
    </xf>
    <xf numFmtId="0" fontId="17" fillId="9" borderId="1" applyAlignment="1" pivotButton="0" quotePrefix="0" xfId="0">
      <alignment horizontal="center" vertical="top" wrapText="1"/>
    </xf>
    <xf numFmtId="0" fontId="17" fillId="9" borderId="1" applyAlignment="1" pivotButton="0" quotePrefix="0" xfId="0">
      <alignment horizontal="general" vertical="top" wrapText="1"/>
    </xf>
    <xf numFmtId="0" fontId="23" fillId="12" borderId="1" applyAlignment="1" pivotButton="0" quotePrefix="0" xfId="0">
      <alignment horizontal="center" vertical="top" wrapText="1"/>
    </xf>
    <xf numFmtId="0" fontId="22" fillId="9" borderId="1" applyAlignment="1" pivotButton="0" quotePrefix="0" xfId="0">
      <alignment horizontal="center" vertical="top" wrapText="1"/>
    </xf>
    <xf numFmtId="0" fontId="17" fillId="9" borderId="1" applyAlignment="1" pivotButton="0" quotePrefix="0" xfId="0">
      <alignment horizontal="left" vertical="top" wrapText="1" indent="1"/>
    </xf>
    <xf numFmtId="0" fontId="6" fillId="0" borderId="1" applyAlignment="1" pivotButton="0" quotePrefix="0" xfId="0">
      <alignment horizontal="left" vertical="top" wrapText="1" indent="1"/>
    </xf>
    <xf numFmtId="0" fontId="17" fillId="0" borderId="1" applyAlignment="1" pivotButton="0" quotePrefix="0" xfId="0">
      <alignment horizontal="center" vertical="top" wrapText="1"/>
    </xf>
    <xf numFmtId="0" fontId="17" fillId="0" borderId="1" applyAlignment="1" pivotButton="0" quotePrefix="0" xfId="0">
      <alignment horizontal="general" vertical="top" wrapText="1"/>
    </xf>
    <xf numFmtId="0" fontId="22" fillId="0" borderId="1" applyAlignment="1" pivotButton="0" quotePrefix="0" xfId="0">
      <alignment horizontal="center" vertical="top" wrapText="1"/>
    </xf>
    <xf numFmtId="0" fontId="17" fillId="0" borderId="1" applyAlignment="1" pivotButton="0" quotePrefix="0" xfId="0">
      <alignment horizontal="left" vertical="top" wrapText="1" indent="1"/>
    </xf>
    <xf numFmtId="0" fontId="24" fillId="13" borderId="1" applyAlignment="1" pivotButton="0" quotePrefix="0" xfId="0">
      <alignment horizontal="center" vertical="top" wrapText="1"/>
    </xf>
    <xf numFmtId="0" fontId="21" fillId="11" borderId="1" applyAlignment="1" pivotButton="0" quotePrefix="0" xfId="0">
      <alignment horizontal="center" vertical="top" wrapText="1"/>
    </xf>
    <xf numFmtId="0" fontId="21" fillId="0" borderId="1" applyAlignment="1" pivotButton="0" quotePrefix="0" xfId="0">
      <alignment horizontal="center" vertical="top" wrapText="1"/>
    </xf>
    <xf numFmtId="0" fontId="21" fillId="9" borderId="1" applyAlignment="1" pivotButton="0" quotePrefix="0" xfId="0">
      <alignment horizontal="center" vertical="top" wrapText="1"/>
    </xf>
    <xf numFmtId="0" fontId="25" fillId="14" borderId="1" applyAlignment="1" pivotButton="0" quotePrefix="0" xfId="0">
      <alignment horizontal="center" vertical="top" wrapText="1"/>
    </xf>
    <xf numFmtId="0" fontId="24" fillId="9" borderId="1" applyAlignment="1" pivotButton="0" quotePrefix="0" xfId="0">
      <alignment horizontal="center" vertical="top" wrapText="1"/>
    </xf>
    <xf numFmtId="0" fontId="24" fillId="0" borderId="1" applyAlignment="1" pivotButton="0" quotePrefix="0" xfId="0">
      <alignment horizontal="center" vertical="top" wrapText="1"/>
    </xf>
    <xf numFmtId="0" fontId="26" fillId="15" borderId="1" applyAlignment="1" pivotButton="0" quotePrefix="0" xfId="0">
      <alignment horizontal="center" vertical="top" wrapText="1"/>
    </xf>
    <xf numFmtId="0" fontId="17" fillId="0" borderId="1" applyAlignment="1" pivotButton="0" quotePrefix="0" xfId="0">
      <alignment horizontal="center" vertical="top"/>
    </xf>
    <xf numFmtId="0" fontId="16" fillId="0" borderId="1" applyAlignment="1" pivotButton="0" quotePrefix="0" xfId="0">
      <alignment horizontal="general" vertical="top" wrapText="1"/>
    </xf>
    <xf numFmtId="0" fontId="0" fillId="0" borderId="1" applyAlignment="1" pivotButton="0" quotePrefix="0" xfId="0">
      <alignment horizontal="general" vertical="bottom"/>
    </xf>
    <xf numFmtId="0" fontId="25" fillId="14" borderId="1" applyAlignment="1" pivotButton="0" quotePrefix="0" xfId="0">
      <alignment horizontal="center" vertical="top"/>
    </xf>
    <xf numFmtId="0" fontId="21" fillId="0" borderId="1" applyAlignment="1" pivotButton="0" quotePrefix="0" xfId="0">
      <alignment horizontal="center" vertical="top"/>
    </xf>
    <xf numFmtId="0" fontId="17" fillId="9" borderId="1" applyAlignment="1" pivotButton="0" quotePrefix="0" xfId="0">
      <alignment horizontal="center" vertical="top"/>
    </xf>
    <xf numFmtId="0" fontId="16" fillId="9" borderId="1" applyAlignment="1" pivotButton="0" quotePrefix="0" xfId="0">
      <alignment horizontal="general" vertical="top" wrapText="1"/>
    </xf>
    <xf numFmtId="0" fontId="0" fillId="9" borderId="1" applyAlignment="1" pivotButton="0" quotePrefix="0" xfId="0">
      <alignment horizontal="general" vertical="bottom"/>
    </xf>
    <xf numFmtId="0" fontId="21" fillId="9" borderId="1" applyAlignment="1" pivotButton="0" quotePrefix="0" xfId="0">
      <alignment horizontal="center" vertical="top"/>
    </xf>
    <xf numFmtId="0" fontId="6" fillId="9" borderId="1" applyAlignment="1" pivotButton="0" quotePrefix="0" xfId="0">
      <alignment horizontal="left" vertical="top" wrapText="1" indent="1"/>
    </xf>
    <xf numFmtId="0" fontId="24" fillId="0" borderId="1" applyAlignment="1" pivotButton="0" quotePrefix="0" xfId="0">
      <alignment horizontal="center" vertical="top"/>
    </xf>
    <xf numFmtId="0" fontId="24" fillId="9" borderId="1" applyAlignment="1" pivotButton="0" quotePrefix="0" xfId="0">
      <alignment horizontal="center" vertical="top"/>
    </xf>
    <xf numFmtId="0" fontId="26" fillId="15" borderId="1" applyAlignment="1" pivotButton="0" quotePrefix="0" xfId="0">
      <alignment horizontal="center" vertical="top"/>
    </xf>
    <xf numFmtId="0" fontId="26" fillId="9" borderId="1" applyAlignment="1" pivotButton="0" quotePrefix="0" xfId="0">
      <alignment horizontal="center" vertical="top"/>
    </xf>
    <xf numFmtId="0" fontId="27" fillId="0" borderId="0" applyAlignment="1" pivotButton="0" quotePrefix="0" xfId="0">
      <alignment horizontal="general" vertical="bottom"/>
    </xf>
    <xf numFmtId="0" fontId="17" fillId="10" borderId="1" applyAlignment="1" pivotButton="0" quotePrefix="0" xfId="0">
      <alignment horizontal="general" vertical="top" wrapText="1"/>
    </xf>
    <xf numFmtId="0" fontId="0" fillId="0" borderId="3" pivotButton="0" quotePrefix="0" xfId="0"/>
    <xf numFmtId="0" fontId="0" fillId="0" borderId="6" pivotButton="0" quotePrefix="0" xfId="0"/>
    <xf numFmtId="0" fontId="18" fillId="0" borderId="1" applyAlignment="1" pivotButton="0" quotePrefix="0" xfId="0">
      <alignment horizontal="left" vertical="top"/>
    </xf>
    <xf numFmtId="0" fontId="17" fillId="0" borderId="2" applyAlignment="1" pivotButton="0" quotePrefix="0" xfId="0">
      <alignment horizontal="left" vertical="top" wrapText="1" indent="1"/>
    </xf>
    <xf numFmtId="0" fontId="0" fillId="0" borderId="3" applyAlignment="1" pivotButton="0" quotePrefix="0" xfId="0">
      <alignment horizontal="general" vertical="bottom"/>
    </xf>
    <xf numFmtId="0" fontId="28" fillId="0" borderId="0" applyAlignment="1" pivotButton="0" quotePrefix="0" xfId="0">
      <alignment horizontal="general" vertical="bottom"/>
    </xf>
    <xf numFmtId="0" fontId="29" fillId="0" borderId="0" applyAlignment="1" pivotButton="0" quotePrefix="0" xfId="0">
      <alignment horizontal="general" vertical="bottom"/>
    </xf>
    <xf numFmtId="0" fontId="20" fillId="0" borderId="2" applyAlignment="1" pivotButton="0" quotePrefix="0" xfId="0">
      <alignment horizontal="left" vertical="top" wrapText="1" indent="1"/>
    </xf>
    <xf numFmtId="0" fontId="16" fillId="0" borderId="1" applyAlignment="1" pivotButton="0" quotePrefix="0" xfId="0">
      <alignment horizontal="left" vertical="top" indent="1"/>
    </xf>
    <xf numFmtId="0" fontId="16" fillId="0" borderId="1" applyAlignment="1" pivotButton="0" quotePrefix="0" xfId="0">
      <alignment horizontal="left" vertical="top" indent="2"/>
    </xf>
    <xf numFmtId="0" fontId="16" fillId="0" borderId="1" applyAlignment="1" pivotButton="0" quotePrefix="0" xfId="0">
      <alignment horizontal="left" vertical="top" indent="3"/>
    </xf>
    <xf numFmtId="0" fontId="16" fillId="0" borderId="1" applyAlignment="1" pivotButton="0" quotePrefix="0" xfId="0">
      <alignment horizontal="left" vertical="top" indent="4"/>
    </xf>
    <xf numFmtId="0" fontId="16" fillId="0" borderId="1" applyAlignment="1" pivotButton="0" quotePrefix="0" xfId="0">
      <alignment horizontal="left" vertical="top" indent="5"/>
    </xf>
    <xf numFmtId="0" fontId="16" fillId="0" borderId="1" applyAlignment="1" pivotButton="0" quotePrefix="0" xfId="0">
      <alignment horizontal="left" vertical="top" indent="6"/>
    </xf>
    <xf numFmtId="0" fontId="16" fillId="0" borderId="1" applyAlignment="1" pivotButton="0" quotePrefix="0" xfId="0">
      <alignment horizontal="left" vertical="top" indent="7"/>
    </xf>
    <xf numFmtId="0" fontId="16" fillId="0" borderId="1" applyAlignment="1" pivotButton="0" quotePrefix="0" xfId="0">
      <alignment horizontal="left" vertical="top" indent="8"/>
    </xf>
    <xf numFmtId="0" fontId="6" fillId="9" borderId="1" applyAlignment="1" pivotButton="0" quotePrefix="0" xfId="0">
      <alignment horizontal="center" vertical="center"/>
    </xf>
    <xf numFmtId="0" fontId="6" fillId="0" borderId="1" applyAlignment="1" pivotButton="0" quotePrefix="0" xfId="0">
      <alignment horizontal="center" vertical="center"/>
    </xf>
    <xf numFmtId="0" fontId="18" fillId="0" borderId="1" applyAlignment="1" pivotButton="0" quotePrefix="0" xfId="0">
      <alignment horizontal="center" vertical="top"/>
    </xf>
    <xf numFmtId="0" fontId="17" fillId="0" borderId="0" applyAlignment="1" pivotButton="0" quotePrefix="0" xfId="0">
      <alignment horizontal="center"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8">
    <dxf>
      <fill>
        <patternFill patternType="solid">
          <fgColor rgb="FF0C4E54"/>
          <bgColor rgb="FF000000"/>
        </patternFill>
      </fill>
    </dxf>
    <dxf>
      <fill>
        <patternFill patternType="solid">
          <fgColor rgb="FFE8F2F3"/>
          <bgColor rgb="FF000000"/>
        </patternFill>
      </fill>
    </dxf>
    <dxf>
      <fill>
        <patternFill patternType="solid">
          <fgColor rgb="FFF7F6F2"/>
          <bgColor rgb="FF000000"/>
        </patternFill>
      </fill>
    </dxf>
    <dxf>
      <fill>
        <patternFill patternType="solid">
          <bgColor rgb="FF000000"/>
        </patternFill>
      </fill>
    </dxf>
    <dxf>
      <fill>
        <patternFill patternType="solid">
          <fgColor rgb="FF28251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DEEEF8"/>
          <bgColor rgb="FF000000"/>
        </patternFill>
      </fill>
    </dxf>
    <dxf>
      <fill>
        <patternFill patternType="solid">
          <fgColor rgb="FFE8F5E0"/>
          <bgColor rgb="FF000000"/>
        </patternFill>
      </fill>
    </dxf>
    <dxf>
      <fill>
        <patternFill patternType="solid">
          <fgColor rgb="FFF0F0EE"/>
          <bgColor rgb="FF000000"/>
        </patternFill>
      </fill>
    </dxf>
    <dxf>
      <fill>
        <patternFill patternType="solid">
          <fgColor rgb="FFF3E8FF"/>
          <bgColor rgb="FF000000"/>
        </patternFill>
      </fill>
    </dxf>
    <dxf>
      <fill>
        <patternFill patternType="solid">
          <fgColor rgb="FFFFF3E0"/>
          <bgColor rgb="FF000000"/>
        </patternFill>
      </fill>
    </dxf>
    <dxf>
      <fill>
        <patternFill patternType="solid">
          <fgColor rgb="FF006494"/>
          <bgColor rgb="FF000000"/>
        </patternFill>
      </fill>
    </dxf>
    <dxf>
      <fill>
        <patternFill patternType="solid">
          <fgColor rgb="FF437A22"/>
          <bgColor rgb="FF000000"/>
        </patternFill>
      </fill>
    </dxf>
    <dxf>
      <fill>
        <patternFill patternType="solid">
          <fgColor rgb="FF7A39BB"/>
          <bgColor rgb="FF000000"/>
        </patternFill>
      </fill>
    </dxf>
    <dxf>
      <fill>
        <patternFill patternType="solid">
          <fgColor rgb="FF7A7974"/>
          <bgColor rgb="FF000000"/>
        </patternFill>
      </fill>
    </dxf>
    <dxf>
      <fill>
        <patternFill patternType="solid">
          <fgColor rgb="FF964219"/>
          <bgColor rgb="FF000000"/>
        </patternFill>
      </fill>
    </dxf>
    <dxf>
      <fill>
        <patternFill patternType="solid">
          <fgColor rgb="FFA1354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1696F"/>
      <rgbColor rgb="FFD4D1CA"/>
      <rgbColor rgb="FF7A7974"/>
      <rgbColor rgb="FF9999FF"/>
      <rgbColor rgb="FFA13544"/>
      <rgbColor rgb="FFFFF3E0"/>
      <rgbColor rgb="FFDEEEF8"/>
      <rgbColor rgb="FF660066"/>
      <rgbColor rgb="FFFF8080"/>
      <rgbColor rgb="FF006494"/>
      <rgbColor rgb="FFF3E8FF"/>
      <rgbColor rgb="FF000080"/>
      <rgbColor rgb="FFFF00FF"/>
      <rgbColor rgb="FFFFFF00"/>
      <rgbColor rgb="FF00FFFF"/>
      <rgbColor rgb="FF800080"/>
      <rgbColor rgb="FF800000"/>
      <rgbColor rgb="FF008080"/>
      <rgbColor rgb="FF0000FF"/>
      <rgbColor rgb="FF00CCFF"/>
      <rgbColor rgb="FFE8F2F3"/>
      <rgbColor rgb="FFE8F5E0"/>
      <rgbColor rgb="FFF7F6F2"/>
      <rgbColor rgb="FF99CCFF"/>
      <rgbColor rgb="FFFF99CC"/>
      <rgbColor rgb="FFCC99FF"/>
      <rgbColor rgb="FFF0F0EE"/>
      <rgbColor rgb="FF3366FF"/>
      <rgbColor rgb="FF33CCCC"/>
      <rgbColor rgb="FF99CC00"/>
      <rgbColor rgb="FFFFCC00"/>
      <rgbColor rgb="FFFF9900"/>
      <rgbColor rgb="FFFF6600"/>
      <rgbColor rgb="FF666699"/>
      <rgbColor rgb="FF969696"/>
      <rgbColor rgb="FF0C4E54"/>
      <rgbColor rgb="FF437A22"/>
      <rgbColor rgb="FF003300"/>
      <rgbColor rgb="FF333300"/>
      <rgbColor rgb="FF964219"/>
      <rgbColor rgb="FF7A39BB"/>
      <rgbColor rgb="FF333399"/>
      <rgbColor rgb="FF28251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8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2" activeCellId="0" sqref="A2"/>
    </sheetView>
  </sheetViews>
  <sheetFormatPr baseColWidth="8" defaultColWidth="8.6796875" defaultRowHeight="14.25" customHeight="1" zeroHeight="0" outlineLevelRow="0"/>
  <cols>
    <col width="133.88" customWidth="1" style="95" min="1" max="1"/>
  </cols>
  <sheetData>
    <row r="1" ht="14.25" customHeight="1" s="96">
      <c r="A1" s="95" t="inlineStr">
        <is>
          <t>RevisionGrade Project Management Roadmap Tracker</t>
        </is>
      </c>
    </row>
    <row r="2" ht="14.25" customHeight="1" s="96">
      <c r="A2" s="97" t="inlineStr">
        <is>
          <t>Generated: March 19, 2026</t>
        </is>
      </c>
    </row>
    <row r="3" ht="14.25" customHeight="1" s="96">
      <c r="A3" s="95" t="inlineStr">
        <is>
          <t>Owner: Mike Meraw</t>
        </is>
      </c>
    </row>
    <row r="4" ht="14.25" customHeight="1" s="96">
      <c r="A4" s="95" t="inlineStr">
        <is>
          <t>Total Items: 44 work items across 6 phases (0-5)</t>
        </is>
      </c>
    </row>
    <row r="5" ht="14.25" customHeight="1" s="96">
      <c r="A5" s="95" t="inlineStr">
        <is>
          <t>Canon: Volumes I-V fully integrated (77 doctrine units referenced)</t>
        </is>
      </c>
    </row>
    <row r="6" ht="14.25" customHeight="1" s="96">
      <c r="A6" s="95" t="inlineStr">
        <is>
          <t>---</t>
        </is>
      </c>
    </row>
    <row r="8" ht="14.25" customHeight="1" s="96">
      <c r="A8" s="95" t="inlineStr">
        <is>
          <t>Executive Summary</t>
        </is>
      </c>
    </row>
    <row r="10" ht="14.25" customHeight="1" s="96">
      <c r="A10" s="95" t="inlineStr">
        <is>
          <t>Status Overview</t>
        </is>
      </c>
    </row>
    <row r="11" ht="14.25" customHeight="1" s="96">
      <c r="A11" s="95" t="inlineStr">
        <is>
          <t xml:space="preserve">  Completed: 8 items (1.1, 1.2, 2.1, 2.2, 2.3, 2.4, 2.5, 2.6)</t>
        </is>
      </c>
    </row>
    <row r="12" ht="14.25" customHeight="1" s="96">
      <c r="A12" s="95" t="inlineStr">
        <is>
          <t xml:space="preserve">  In Progress: 1 item (2.7)</t>
        </is>
      </c>
    </row>
    <row r="13" ht="14.25" customHeight="1" s="96">
      <c r="A13" s="95" t="inlineStr">
        <is>
          <t xml:space="preserve">  Next: 7 items</t>
        </is>
      </c>
    </row>
    <row r="14" ht="14.25" customHeight="1" s="96">
      <c r="A14" s="95" t="inlineStr">
        <is>
          <t xml:space="preserve">  Planned: 16 items</t>
        </is>
      </c>
    </row>
    <row r="15" ht="14.25" customHeight="1" s="96">
      <c r="A15" s="95" t="inlineStr">
        <is>
          <t xml:space="preserve">  Future: 13 items</t>
        </is>
      </c>
    </row>
    <row r="17" ht="14.25" customHeight="1" s="96">
      <c r="A17" s="95" t="inlineStr">
        <is>
          <t>Priority Distribution</t>
        </is>
      </c>
    </row>
    <row r="18" ht="14.25" customHeight="1" s="96">
      <c r="A18" s="95" t="inlineStr">
        <is>
          <t xml:space="preserve">  P0-Blocker: 8 items (mission-critical, execution order locked)</t>
        </is>
      </c>
    </row>
    <row r="19" ht="14.25" customHeight="1" s="96">
      <c r="A19" s="95" t="inlineStr">
        <is>
          <t xml:space="preserve">  P1-Critical: 14 items (high priority)</t>
        </is>
      </c>
    </row>
    <row r="20" ht="14.25" customHeight="1" s="96">
      <c r="A20" s="95" t="inlineStr">
        <is>
          <t xml:space="preserve">  P2-Important: 11 items (needed for product)</t>
        </is>
      </c>
    </row>
    <row r="21" ht="14.25" customHeight="1" s="96">
      <c r="A21" s="95" t="inlineStr">
        <is>
          <t xml:space="preserve">  P3-Feature: 11 items (future enhancement)</t>
        </is>
      </c>
    </row>
    <row r="23" ht="14.25" customHeight="1" s="96">
      <c r="A23" s="95" t="inlineStr">
        <is>
          <t>Phase Distribution</t>
        </is>
      </c>
    </row>
    <row r="24" ht="14.25" customHeight="1" s="96">
      <c r="A24" s="95" t="inlineStr">
        <is>
          <t xml:space="preserve">  Phase 0 — Canon Integration &amp; Authority: 3 items</t>
        </is>
      </c>
    </row>
    <row r="25" ht="14.25" customHeight="1" s="96">
      <c r="A25" s="95" t="inlineStr">
        <is>
          <t xml:space="preserve">  Phase 1 — Foundation &amp; Governance: 2 items (COMPLETE)</t>
        </is>
      </c>
    </row>
    <row r="26" ht="14.25" customHeight="1" s="96">
      <c r="A26" s="95" t="inlineStr">
        <is>
          <t xml:space="preserve">  Phase 2 — Evaluation Quality &amp; Credibility: 11 items</t>
        </is>
      </c>
    </row>
    <row r="27" ht="14.25" customHeight="1" s="96">
      <c r="A27" s="95" t="inlineStr">
        <is>
          <t xml:space="preserve">  Phase 3 — Action Loop: Revision &amp; WAVE: 7 items</t>
        </is>
      </c>
    </row>
    <row r="28" ht="14.25" customHeight="1" s="96">
      <c r="A28" s="95" t="inlineStr">
        <is>
          <t xml:space="preserve">  Phase 4 — Conversion &amp; Packaging: 5 items</t>
        </is>
      </c>
    </row>
    <row r="29" ht="14.25" customHeight="1" s="96">
      <c r="A29" s="95" t="inlineStr">
        <is>
          <t xml:space="preserve">  Phase 5 — Dashboards, Analytics &amp; Platform: 16 items</t>
        </is>
      </c>
    </row>
    <row r="31" ht="14.25" customHeight="1" s="96">
      <c r="A31" s="95" t="inlineStr">
        <is>
          <t>Investment Readiness Status</t>
        </is>
      </c>
    </row>
    <row r="32" ht="14.25" customHeight="1" s="96">
      <c r="A32" s="95" t="inlineStr">
        <is>
          <t xml:space="preserve">  Foundation &amp; Governance: PRODUCTION READY</t>
        </is>
      </c>
    </row>
    <row r="33" ht="14.25" customHeight="1" s="96">
      <c r="A33" s="95" t="inlineStr">
        <is>
          <t xml:space="preserve">  Evaluation Loop (Gate A5): DEMO READY</t>
        </is>
      </c>
    </row>
    <row r="34" ht="14.25" customHeight="1" s="96">
      <c r="A34" s="95" t="inlineStr">
        <is>
          <t xml:space="preserve">  Anchor Metadata (2.1): VERIFIED &amp; COMPLETE (DB 6-gate pass 2026-03-18)</t>
        </is>
      </c>
    </row>
    <row r="35" ht="14.25" customHeight="1" s="96">
      <c r="A35" s="95" t="inlineStr">
        <is>
          <t xml:space="preserve">  Proposal Extraction (2.2): COMPLETED &amp; VERIFIED (21/21 tests, 2026-03-19)</t>
        </is>
      </c>
    </row>
    <row r="36" ht="14.25" customHeight="1" s="96">
      <c r="A36" s="95" t="inlineStr">
        <is>
          <t xml:space="preserve">  Apply Integrity (2.3): COMPLETED &amp; VERIFIED (13/13 tests, 2026-03-19)</t>
        </is>
      </c>
    </row>
    <row r="37" ht="14.25" customHeight="1" s="96">
      <c r="A37" s="95" t="inlineStr">
        <is>
          <t xml:space="preserve">  Failure Classification + Engine Hardening (2.4): COMPLETED &amp; VERIFIED (10 suites/100 tests, Pack F 100k soak, abe6146, 2026-03-19)</t>
        </is>
      </c>
    </row>
    <row r="38">
      <c r="A38" s="95" t="inlineStr">
        <is>
          <t xml:space="preserve">  Stage Validation (2.5): COMPLETED &amp; VERIFIED (8 cases: 5 success + 3 failure, byte-identical repeat runs, 48aa4c9, 2026-03-19)</t>
        </is>
      </c>
    </row>
    <row r="39" ht="14.25" customHeight="1" s="96">
      <c r="A39" s="95" t="inlineStr">
        <is>
          <t xml:space="preserve">  A6 Report Credibility (2.6): COMPLETED &amp; VERIFIED (rubric + confidence + provenance, 5 tests + evidence run, offset-consistent, 38d9c19, 2026-03-19)</t>
        </is>
      </c>
    </row>
    <row r="40">
      <c r="A40" s="95" t="inlineStr">
        <is>
          <t xml:space="preserve">  Evaluation Uplift (2.7): IN PROGRESS — scaffold complete (6 suites, 52 tests, a6f0492→c91f26c, 2026-03-19)</t>
        </is>
      </c>
    </row>
    <row r="41" ht="14.25" customHeight="1" s="96">
      <c r="A41" s="95" t="inlineStr">
        <is>
          <t xml:space="preserve">  Canon Integration (Phase 0): NEXT</t>
        </is>
      </c>
    </row>
    <row r="42" ht="14.25" customHeight="1" s="96">
      <c r="A42" s="95" t="inlineStr">
        <is>
          <t xml:space="preserve">  Trust &amp; Quality Uplift: NEXT IN QUEUE</t>
        </is>
      </c>
    </row>
    <row r="43" ht="14.25" customHeight="1" s="96"/>
    <row r="44" ht="14.25" customHeight="1" s="96">
      <c r="A44" s="95" t="inlineStr">
        <is>
          <t>---</t>
        </is>
      </c>
    </row>
    <row r="46" ht="14.25" customHeight="1" s="96">
      <c r="A46" s="95" t="inlineStr">
        <is>
          <t>Three-Layer Execution Structure</t>
        </is>
      </c>
    </row>
    <row r="47" ht="14.25" customHeight="1" s="96">
      <c r="A47" s="95" t="inlineStr">
        <is>
          <t xml:space="preserve">  Layer 1 — Roadmap: direction + sequencing (this workbook)</t>
        </is>
      </c>
    </row>
    <row r="48" ht="14.25" customHeight="1" s="96">
      <c r="A48" s="95" t="inlineStr">
        <is>
          <t xml:space="preserve">  Layer 2 — Sprint: atomic subtasks with verification (Sprint 0 sheet)</t>
        </is>
      </c>
    </row>
    <row r="49" ht="14.25" customHeight="1" s="96">
      <c r="A49" s="95" t="inlineStr">
        <is>
          <t xml:space="preserve">  Layer 3 — Authority: canon enforcement at runtime (Phase 0 items)</t>
        </is>
      </c>
    </row>
    <row r="50" ht="14.25" customHeight="1" s="96"/>
    <row r="51">
      <c r="A51" s="95" t="inlineStr">
        <is>
          <t>Governance Model</t>
        </is>
      </c>
    </row>
    <row r="52" ht="14.25" customHeight="1" s="96">
      <c r="A52" s="95" t="inlineStr">
        <is>
          <t xml:space="preserve">  Every roadmap item has: Success Criteria, Test Method, Canon Reference</t>
        </is>
      </c>
    </row>
    <row r="53" ht="14.25" customHeight="1" s="96">
      <c r="A53" s="95" t="inlineStr">
        <is>
          <t xml:space="preserve">  Every sprint subtask has: Success Criteria, Test Method, Output Artifact</t>
        </is>
      </c>
    </row>
    <row r="54" ht="14.25" customHeight="1" s="96">
      <c r="A54" s="95" t="inlineStr">
        <is>
          <t xml:space="preserve">  Definition of done: "This passed its defined success test" — not "I think this is done"</t>
        </is>
      </c>
    </row>
    <row r="55" ht="14.25" customHeight="1" s="96">
      <c r="A55" s="95" t="inlineStr">
        <is>
          <t xml:space="preserve">  Canon compliance check required before any phase can be marked verified</t>
        </is>
      </c>
    </row>
    <row r="56" ht="14.25" customHeight="1" s="96"/>
    <row r="57">
      <c r="A57" s="95" t="inlineStr">
        <is>
          <t>Active Gates</t>
        </is>
      </c>
    </row>
    <row r="58" ht="14.25" customHeight="1" s="96">
      <c r="A58" s="95" t="inlineStr">
        <is>
          <t xml:space="preserve">  2.1 DB Verification: phase21-db-verification.sql must pass before 2.2 begins</t>
        </is>
      </c>
    </row>
    <row r="59">
      <c r="A59" s="95" t="inlineStr">
        <is>
          <t xml:space="preserve">  Canon Gate (Pass 1.5): Must execute before results surface to users</t>
        </is>
      </c>
    </row>
    <row r="60" ht="14.25" customHeight="1" s="96">
      <c r="A60" s="95" t="inlineStr">
        <is>
          <t xml:space="preserve">  Two-AI Independence: Pass 2 must never receive Pass 1 outputs</t>
        </is>
      </c>
    </row>
    <row r="61" ht="14.25" customHeight="1" s="96">
      <c r="A61" s="95" t="inlineStr">
        <is>
          <t xml:space="preserve">  Audit Spine: Append-only, hash-chained, no DELETE/UPDATE, 7-year retention</t>
        </is>
      </c>
    </row>
    <row r="62" ht="14.25" customHeight="1" s="96"/>
    <row r="63" ht="14.25" customHeight="1" s="96">
      <c r="A63" s="95" t="inlineStr">
        <is>
          <t>---</t>
        </is>
      </c>
    </row>
    <row r="64" ht="14.25" customHeight="1" s="96"/>
    <row r="65" ht="14.25" customHeight="1" s="96">
      <c r="A65" s="95" t="inlineStr">
        <is>
          <t>Workbook Sheets</t>
        </is>
      </c>
    </row>
    <row r="66">
      <c r="A66" s="95" t="inlineStr">
        <is>
          <t xml:space="preserve">  Overview: Dashboard with KPI cards and phase progress</t>
        </is>
      </c>
    </row>
    <row r="67" ht="14.25" customHeight="1" s="96">
      <c r="A67" s="95" t="inlineStr">
        <is>
          <t xml:space="preserve">  Roadmap: Full 44-item sequential tracker with all PM fields + Canon Reference</t>
        </is>
      </c>
    </row>
    <row r="68">
      <c r="A68" s="95" t="inlineStr">
        <is>
          <t xml:space="preserve">  Sprint 0 (Phase 2): 18 atomic subtasks for 2.1-2.6 with Success/Test/Artifact</t>
        </is>
      </c>
    </row>
    <row r="69" ht="14.25" customHeight="1" s="96">
      <c r="A69" s="95" t="inlineStr">
        <is>
          <t xml:space="preserve">  Immediate Priorities: The 'next three' critical deliverables</t>
        </is>
      </c>
    </row>
    <row r="70" ht="14.25" customHeight="1" s="96">
      <c r="A70" s="95" t="inlineStr">
        <is>
          <t xml:space="preserve">  Canon Reference: Authority chain, numeric constants, 10 non-negotiable governance rules</t>
        </is>
      </c>
    </row>
    <row r="71" ht="14.25" customHeight="1" s="96"/>
    <row r="72" ht="14.25" customHeight="1" s="96">
      <c r="A72" s="95" t="inlineStr">
        <is>
          <t>---</t>
        </is>
      </c>
    </row>
    <row r="73" ht="14.25" customHeight="1" s="96"/>
    <row r="74" ht="14.25" customHeight="1" s="96">
      <c r="A74" s="95" t="inlineStr">
        <is>
          <t>Canon Document Sources (20 documents integrated)</t>
        </is>
      </c>
    </row>
    <row r="75" ht="14.25" customHeight="1" s="96">
      <c r="A75" s="95" t="inlineStr">
        <is>
          <t xml:space="preserve">  Volume I — WAVE Revision Guide Canon (62 waves, 3 tsunamis, 10 execution rules)</t>
        </is>
      </c>
    </row>
    <row r="76" ht="14.25" customHeight="1" s="96">
      <c r="A76" s="95" t="inlineStr">
        <is>
          <t xml:space="preserve">  Volume II — Story Evaluation Criteria (13 criteria, 10 diagnostic patterns)</t>
        </is>
      </c>
    </row>
    <row r="77" ht="14.25" customHeight="1" s="96">
      <c r="A77" s="95" t="inlineStr">
        <is>
          <t xml:space="preserve">  Volume II-A — Operational Schema (weights, gates, JSON envelope, Supabase tables)</t>
        </is>
      </c>
    </row>
    <row r="78" ht="14.25" customHeight="1" s="96">
      <c r="A78" s="95" t="inlineStr">
        <is>
          <t xml:space="preserve">  Volume III — Platform Governance Canon (5 doctrines, 3-layer editorial intelligence)</t>
        </is>
      </c>
    </row>
    <row r="79" ht="14.25" customHeight="1" s="96">
      <c r="A79" s="95" t="inlineStr">
        <is>
          <t xml:space="preserve">  Volume III — Tools &amp; Implementation Systems (schemas, prompts, adapters)</t>
        </is>
      </c>
    </row>
    <row r="80" ht="14.25" customHeight="1" s="96">
      <c r="A80" s="95" t="inlineStr">
        <is>
          <t xml:space="preserve">  Volume III — Operational Specification (thresholds, routing, 7-stage pipeline)</t>
        </is>
      </c>
    </row>
    <row r="81" ht="14.25" customHeight="1" s="96">
      <c r="A81" s="95" t="inlineStr">
        <is>
          <t xml:space="preserve">  Volume IV — AI Governance Canon (3-layer authority, 7 protection systems)</t>
        </is>
      </c>
    </row>
    <row r="82">
      <c r="A82" s="95" t="inlineStr">
        <is>
          <t xml:space="preserve">  Volume V — Execution Architecture (AEP 6-step flow, Trifecta, chunking, reliability)</t>
        </is>
      </c>
    </row>
    <row r="83">
      <c r="A83" s="95" t="inlineStr">
        <is>
          <t xml:space="preserve">  Canon III — Lessons of the Living System (8 governing laws)</t>
        </is>
      </c>
    </row>
    <row r="84">
      <c r="A84" s="95" t="inlineStr">
        <is>
          <t xml:space="preserve">  Canon Assembly Matrix (RCAM v2.0, 24 source docs, 5 matrix rules)</t>
        </is>
      </c>
    </row>
    <row r="85">
      <c r="A85" s="95" t="inlineStr">
        <is>
          <t xml:space="preserve">  Canon Doctrine Registry (77 doctrine units, 6 governance rules)</t>
        </is>
      </c>
    </row>
    <row r="86">
      <c r="A86" s="95" t="inlineStr">
        <is>
          <t xml:space="preserve">  + 9 supporting/variant documents (txt, md formats)</t>
        </is>
      </c>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1696F"/>
    <outlinePr summaryBelow="1" summaryRight="1"/>
    <pageSetUpPr fitToPage="0"/>
  </sheetPr>
  <dimension ref="B2:J28"/>
  <sheetViews>
    <sheetView showFormulas="0" showGridLines="1" showRowColHeaders="1" showZeros="1" rightToLeft="0" tabSelected="0" showOutlineSymbols="1" defaultGridColor="1" view="normal" topLeftCell="A8" colorId="64" zoomScale="100" zoomScaleNormal="100" zoomScalePageLayoutView="100" workbookViewId="0">
      <selection pane="topLeft" activeCell="C30" activeCellId="0" sqref="C30"/>
    </sheetView>
  </sheetViews>
  <sheetFormatPr baseColWidth="8" defaultColWidth="8.66796875" defaultRowHeight="15" customHeight="1" zeroHeight="0" outlineLevelRow="0"/>
  <cols>
    <col width="3" customWidth="1" style="95" min="1" max="1"/>
    <col width="15" customWidth="1" style="95" min="2" max="2"/>
    <col width="38" customWidth="1" style="95" min="3" max="3"/>
    <col width="12" customWidth="1" style="95" min="4" max="4"/>
    <col width="14" customWidth="1" style="95" min="5" max="5"/>
    <col width="12" customWidth="1" style="95" min="6" max="6"/>
    <col width="15" customWidth="1" style="95" min="7" max="7"/>
  </cols>
  <sheetData>
    <row r="2" ht="36" customHeight="1" s="96">
      <c r="B2" s="98" t="inlineStr">
        <is>
          <t>RevisionGrade — Product Roadmap</t>
        </is>
      </c>
    </row>
    <row r="3" ht="21.75" customHeight="1" s="96">
      <c r="B3" s="99" t="inlineStr">
        <is>
          <t>Upload → Evaluation → Revision → Packaging → StoryGate → Agents</t>
        </is>
      </c>
    </row>
    <row r="4" ht="18" customHeight="1" s="96">
      <c r="B4" s="100" t="inlineStr">
        <is>
          <t>Generated: March 19, 2026 | Owner: Mike Meraw | Canon: Volumes I-V integrated</t>
        </is>
      </c>
    </row>
    <row r="6" ht="24" customHeight="1" s="96">
      <c r="B6" s="101" t="inlineStr">
        <is>
          <t>STATUS SUMMARY</t>
        </is>
      </c>
    </row>
    <row r="8" ht="24" customHeight="1" s="96">
      <c r="B8" s="102" t="inlineStr">
        <is>
          <t>Completed</t>
        </is>
      </c>
      <c r="C8" s="103" t="inlineStr">
        <is>
          <t>In Progress</t>
        </is>
      </c>
      <c r="D8" s="104" t="inlineStr">
        <is>
          <t>Next</t>
        </is>
      </c>
      <c r="E8" s="105" t="inlineStr">
        <is>
          <t>Planned</t>
        </is>
      </c>
      <c r="F8" s="106" t="inlineStr">
        <is>
          <t>Future</t>
        </is>
      </c>
      <c r="G8" s="107" t="inlineStr">
        <is>
          <t>Total Items</t>
        </is>
      </c>
    </row>
    <row r="9" ht="39.75" customHeight="1" s="96">
      <c r="B9" s="108">
        <f>COUNTIF(Roadmap!F:F,"Completed")</f>
        <v/>
      </c>
      <c r="C9" s="109">
        <f>COUNTIF(Roadmap!F:F,"In Progress")</f>
        <v/>
      </c>
      <c r="D9" s="110">
        <f>COUNTIF(Roadmap!F:F,"Next")</f>
        <v/>
      </c>
      <c r="E9" s="111">
        <f>COUNTIF(Roadmap!F:F,"Planned")</f>
        <v/>
      </c>
      <c r="F9" s="112">
        <f>COUNTIF(Roadmap!F:F,"Future")</f>
        <v/>
      </c>
      <c r="G9" s="113">
        <f>COUNTA(Roadmap!F2:F100)</f>
        <v/>
      </c>
    </row>
    <row r="12" ht="24" customHeight="1" s="96">
      <c r="B12" s="101" t="inlineStr">
        <is>
          <t>PHASE PROGRESS</t>
        </is>
      </c>
    </row>
    <row r="14" ht="24" customHeight="1" s="96">
      <c r="B14" s="114" t="inlineStr">
        <is>
          <t>Phase</t>
        </is>
      </c>
      <c r="C14" s="114" t="inlineStr">
        <is>
          <t>Name</t>
        </is>
      </c>
      <c r="D14" s="114" t="inlineStr">
        <is>
          <t>Items</t>
        </is>
      </c>
      <c r="E14" s="114" t="inlineStr">
        <is>
          <t>Completed</t>
        </is>
      </c>
      <c r="F14" s="114" t="inlineStr">
        <is>
          <t>% Done</t>
        </is>
      </c>
    </row>
    <row r="15" ht="14.25" customHeight="1" s="96">
      <c r="B15" s="115" t="n">
        <v>0</v>
      </c>
      <c r="C15" s="116" t="inlineStr">
        <is>
          <t>Canon Integration &amp; Authority</t>
        </is>
      </c>
      <c r="D15" s="117">
        <f>COUNTIF(Roadmap!B:B,0)</f>
        <v/>
      </c>
      <c r="E15" s="117">
        <f>COUNTIFS(Roadmap!B:B,0,Roadmap!F:F,"Completed")</f>
        <v/>
      </c>
      <c r="F15" s="118">
        <f>IF(D15=0,0,E15/D15)</f>
        <v/>
      </c>
    </row>
    <row r="16" ht="14.25" customHeight="1" s="96">
      <c r="B16" s="119" t="n">
        <v>1</v>
      </c>
      <c r="C16" s="120" t="inlineStr">
        <is>
          <t>Foundation &amp; Governance</t>
        </is>
      </c>
      <c r="D16" s="121">
        <f>COUNTIF(Roadmap!B:B,1)</f>
        <v/>
      </c>
      <c r="E16" s="121">
        <f>COUNTIFS(Roadmap!B:B,1,Roadmap!F:F,"Completed")</f>
        <v/>
      </c>
      <c r="F16" s="122">
        <f>IF(D16=0,0,E16/D16)</f>
        <v/>
      </c>
    </row>
    <row r="17" ht="14.25" customHeight="1" s="96">
      <c r="B17" s="115" t="n">
        <v>2</v>
      </c>
      <c r="C17" s="116" t="inlineStr">
        <is>
          <t>Evaluation Quality &amp; Credibility</t>
        </is>
      </c>
      <c r="D17" s="117">
        <f>COUNTIF(Roadmap!B:B,2)</f>
        <v/>
      </c>
      <c r="E17" s="117">
        <f>COUNTIFS(Roadmap!B:B,2,Roadmap!F:F,"Completed")</f>
        <v/>
      </c>
      <c r="F17" s="118">
        <f>IF(D17=0,0,E17/D17)</f>
        <v/>
      </c>
    </row>
    <row r="18" ht="14.25" customHeight="1" s="96">
      <c r="B18" s="119" t="n">
        <v>3</v>
      </c>
      <c r="C18" s="120" t="inlineStr">
        <is>
          <t>Action Loop: Revision &amp; WAVE</t>
        </is>
      </c>
      <c r="D18" s="121">
        <f>COUNTIF(Roadmap!B:B,3)</f>
        <v/>
      </c>
      <c r="E18" s="121">
        <f>COUNTIFS(Roadmap!B:B,3,Roadmap!F:F,"Completed")</f>
        <v/>
      </c>
      <c r="F18" s="122">
        <f>IF(D18=0,0,E18/D18)</f>
        <v/>
      </c>
    </row>
    <row r="19" ht="14.25" customHeight="1" s="96">
      <c r="B19" s="115" t="n">
        <v>4</v>
      </c>
      <c r="C19" s="116" t="inlineStr">
        <is>
          <t>Conversion &amp; Packaging</t>
        </is>
      </c>
      <c r="D19" s="117">
        <f>COUNTIF(Roadmap!B:B,4)</f>
        <v/>
      </c>
      <c r="E19" s="117">
        <f>COUNTIFS(Roadmap!B:B,4,Roadmap!F:F,"Completed")</f>
        <v/>
      </c>
      <c r="F19" s="118">
        <f>IF(D19=0,0,E19/D19)</f>
        <v/>
      </c>
    </row>
    <row r="20" ht="15" customHeight="1" s="96">
      <c r="B20" s="119" t="n">
        <v>5</v>
      </c>
      <c r="C20" s="120" t="inlineStr">
        <is>
          <t>Dashboards, Analytics &amp; Platform</t>
        </is>
      </c>
      <c r="D20" s="121">
        <f>COUNTIF(Roadmap!B:B,5)</f>
        <v/>
      </c>
      <c r="E20" s="121">
        <f>COUNTIFS(Roadmap!B:B,5,Roadmap!F:F,"Completed")</f>
        <v/>
      </c>
      <c r="F20" s="122">
        <f>IF(D20=0,0,E20/D20)</f>
        <v/>
      </c>
    </row>
    <row r="22" ht="15" customHeight="1" s="96">
      <c r="B22" s="95" t="n"/>
    </row>
    <row r="23" ht="15" customHeight="1" s="96">
      <c r="B23" s="101" t="inlineStr">
        <is>
          <t>SHEET INDEX</t>
        </is>
      </c>
    </row>
    <row r="24" ht="14.25" customHeight="1" s="96"/>
    <row r="25" ht="14.25" customHeight="1" s="96">
      <c r="B25" s="123" t="inlineStr">
        <is>
          <t>Roadmap</t>
        </is>
      </c>
      <c r="C25" s="124" t="inlineStr">
        <is>
          <t>Full sequential task tracker with all PM fields</t>
        </is>
      </c>
    </row>
    <row r="26" ht="15" customHeight="1" s="96">
      <c r="B26" s="123" t="inlineStr">
        <is>
          <t>Immediate Priorities</t>
        </is>
      </c>
      <c r="C26" s="124" t="inlineStr">
        <is>
          <t>The 'next three' critical deliverables</t>
        </is>
      </c>
    </row>
    <row r="27" ht="15" customHeight="1" s="96">
      <c r="B27" s="123" t="inlineStr">
        <is>
          <t>Sprint 0 (Phase 2)</t>
        </is>
      </c>
      <c r="C27" s="124" t="inlineStr">
        <is>
          <t>Governed execution board: 15 atomic subtasks for 2.1-2.5 with Success/Test/Artifact</t>
        </is>
      </c>
    </row>
    <row r="28" ht="15" customHeight="1" s="96">
      <c r="B28" s="123" t="inlineStr">
        <is>
          <t>Canon Reference</t>
        </is>
      </c>
      <c r="C28" s="124" t="inlineStr">
        <is>
          <t>Authority chain, numeric constants, governance rules from Volumes I-V</t>
        </is>
      </c>
    </row>
  </sheetData>
  <mergeCells count="6">
    <mergeCell ref="B6:C6"/>
    <mergeCell ref="B3:J3"/>
    <mergeCell ref="B12:G12"/>
    <mergeCell ref="B22:F22"/>
    <mergeCell ref="B4:J4"/>
    <mergeCell ref="B2:J2"/>
  </mergeCells>
  <conditionalFormatting sqref="F15:F19">
    <cfRule type="dataBar" priority="2">
      <dataBar minLength="10" maxLength="90" showValue="1">
        <cfvo type="num" val="0"/>
        <cfvo type="num" val="1"/>
        <color rgb="FF01696F"/>
      </dataBar>
    </cfRule>
  </conditionalFormatting>
  <conditionalFormatting sqref="F15:F20">
    <cfRule type="dataBar" priority="3">
      <dataBar minLength="10" maxLength="90" showValue="1">
        <cfvo type="num" val="0"/>
        <cfvo type="num" val="1"/>
        <color rgb="FF01696F"/>
      </dataBar>
    </cfRule>
  </conditionalFormatting>
  <hyperlinks>
    <hyperlink ref="B25" location="'Immediate Priorities'!A1" display="Roadmap"/>
    <hyperlink ref="B26" location="'Sprint 0 (Phase 2)'!A1" display="Immediate Priorities"/>
    <hyperlink ref="B27" location="'Canon Reference'!A1" display="Sprint 0 (Phase 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0C4E54"/>
    <outlinePr summaryBelow="1" summaryRight="1"/>
    <pageSetUpPr fitToPage="0"/>
  </sheetPr>
  <dimension ref="A1:R47"/>
  <sheetViews>
    <sheetView showFormulas="0" showGridLines="1" showRowColHeaders="1" showZeros="1" rightToLeft="0" tabSelected="0" showOutlineSymbols="1" defaultGridColor="1" view="normal" topLeftCell="A4" colorId="64" zoomScale="100" zoomScaleNormal="100" zoomScalePageLayoutView="100" workbookViewId="0">
      <pane xSplit="1" ySplit="0" topLeftCell="M4" activePane="topRight" state="frozen"/>
      <selection pane="topLeft" activeCell="A4" activeCellId="0" sqref="A4"/>
      <selection pane="topRight" activeCell="P6" activeCellId="0" sqref="P6"/>
    </sheetView>
  </sheetViews>
  <sheetFormatPr baseColWidth="8" defaultColWidth="8.66796875" defaultRowHeight="15" customHeight="1" zeroHeight="0" outlineLevelRow="0"/>
  <cols>
    <col width="5" customWidth="1" style="95" min="1" max="1"/>
    <col width="7" customWidth="1" style="95" min="2" max="2"/>
    <col width="6" customWidth="1" style="95" min="3" max="3"/>
    <col width="34" customWidth="1" style="95" min="4" max="4"/>
    <col hidden="1" width="1" customWidth="1" style="95" min="5" max="5"/>
    <col width="14" customWidth="1" style="95" min="6" max="6"/>
    <col width="9" customWidth="1" style="95" min="7" max="7"/>
    <col width="50" customWidth="1" style="95" min="8" max="9"/>
    <col width="22" customWidth="1" style="95" min="10" max="10"/>
    <col width="16" customWidth="1" style="95" min="11" max="11"/>
    <col width="10" customWidth="1" style="95" min="12" max="12"/>
    <col width="14" customWidth="1" style="95" min="13" max="13"/>
    <col width="46" customWidth="1" style="95" min="14" max="16"/>
    <col width="40" customWidth="1" style="95" min="17" max="18"/>
  </cols>
  <sheetData>
    <row r="1" ht="31.5" customHeight="1" s="96">
      <c r="A1" s="125" t="inlineStr">
        <is>
          <t>#</t>
        </is>
      </c>
      <c r="B1" s="125" t="inlineStr">
        <is>
          <t>Phase</t>
        </is>
      </c>
      <c r="C1" s="125" t="inlineStr">
        <is>
          <t>ID</t>
        </is>
      </c>
      <c r="D1" s="125" t="inlineStr">
        <is>
          <t>Task</t>
        </is>
      </c>
      <c r="E1" s="125" t="inlineStr">
        <is>
          <t>Description / Scope</t>
        </is>
      </c>
      <c r="F1" s="125" t="inlineStr">
        <is>
          <t>Status</t>
        </is>
      </c>
      <c r="G1" s="125" t="inlineStr">
        <is>
          <t>Priority</t>
        </is>
      </c>
      <c r="H1" s="125" t="inlineStr">
        <is>
          <t>Why This Step</t>
        </is>
      </c>
      <c r="I1" s="125" t="inlineStr">
        <is>
          <t>How to Execute</t>
        </is>
      </c>
      <c r="J1" s="125" t="inlineStr">
        <is>
          <t>Where (Codebase)</t>
        </is>
      </c>
      <c r="K1" s="125" t="inlineStr">
        <is>
          <t>Owner</t>
        </is>
      </c>
      <c r="L1" s="125" t="inlineStr">
        <is>
          <t>LOE (hrs)</t>
        </is>
      </c>
      <c r="M1" s="125" t="inlineStr">
        <is>
          <t>Dependencies</t>
        </is>
      </c>
      <c r="N1" s="125" t="inlineStr">
        <is>
          <t>Success Criteria</t>
        </is>
      </c>
      <c r="O1" s="125" t="inlineStr">
        <is>
          <t>Test Method</t>
        </is>
      </c>
      <c r="P1" s="125" t="inlineStr">
        <is>
          <t>Priority Lock</t>
        </is>
      </c>
      <c r="Q1" s="125" t="inlineStr">
        <is>
          <t>Notes</t>
        </is>
      </c>
      <c r="R1" s="125" t="inlineStr">
        <is>
          <t>Canon Reference</t>
        </is>
      </c>
    </row>
    <row r="2" ht="55.5" customHeight="1" s="96">
      <c r="A2" s="126" t="n">
        <v>0</v>
      </c>
      <c r="B2" s="127" t="n">
        <v>0</v>
      </c>
      <c r="C2" s="126" t="inlineStr">
        <is>
          <t>0.1</t>
        </is>
      </c>
      <c r="D2" s="128" t="inlineStr">
        <is>
          <t>Canon Registry Binding (Runtime)</t>
        </is>
      </c>
      <c r="E2" s="129" t="n"/>
      <c r="F2" s="130" t="inlineStr">
        <is>
          <t>Next</t>
        </is>
      </c>
      <c r="G2" s="131" t="inlineStr">
        <is>
          <t>P0</t>
        </is>
      </c>
      <c r="H2" s="132" t="inlineStr">
        <is>
          <t>Canon authority is documented but not yet wired into execution. Canon IDs, doctrine precedence rules, and version tracking must be loadable at runtime so pipeline steps can validate against the living canon — not a snapshot.</t>
        </is>
      </c>
      <c r="I2" s="132" t="inlineStr">
        <is>
          <t>Build canon registry module: load all 77 doctrine IDs from Canon Doctrine Registry. Define precedence chain (Canon III → Vol IV → Registry → RCAM → Vol II → Vol II-A → Vol I → Vol III → Vol V). Version-stamp every canon load. Fail if canon version is stale or missing.</t>
        </is>
      </c>
      <c r="J2" s="133" t="inlineStr">
        <is>
          <t>lib/canon/registry.ts</t>
        </is>
      </c>
      <c r="K2" s="126" t="inlineStr">
        <is>
          <t>Mike + Copilot</t>
        </is>
      </c>
      <c r="L2" s="126" t="inlineStr">
        <is>
          <t>6-8</t>
        </is>
      </c>
      <c r="M2" s="126" t="inlineStr">
        <is>
          <t>1.1</t>
        </is>
      </c>
      <c r="N2" s="132" t="inlineStr">
        <is>
          <t>Canon registry loads all 77 doctrine units at runtime. Precedence chain enforced. Version tracking active. Stale/missing canon fails closed.</t>
        </is>
      </c>
      <c r="O2" s="132" t="inlineStr">
        <is>
          <t>Load registry — verify 77 doctrine IDs present. Remove one doctrine — verify load fails. Change version — verify staleness detected.</t>
        </is>
      </c>
      <c r="P2" s="126" t="inlineStr">
        <is>
          <t>Yes</t>
        </is>
      </c>
      <c r="Q2" s="132" t="inlineStr">
        <is>
          <t>This is NOT the static Canon Reference sheet — this is the runtime enforcement mechanism. Must load before any pipeline step executes.</t>
        </is>
      </c>
      <c r="R2" s="134" t="inlineStr">
        <is>
          <t>Canon Doctrine Registry (77 units, 6 governance rules), RCAM v2.0 (24 source docs, 5 matrix rules), Canon III (8 governing laws)</t>
        </is>
      </c>
    </row>
    <row r="3" ht="55.5" customHeight="1" s="96">
      <c r="A3" s="126" t="n">
        <v>0</v>
      </c>
      <c r="B3" s="127" t="n">
        <v>0</v>
      </c>
      <c r="C3" s="126" t="inlineStr">
        <is>
          <t>0.2</t>
        </is>
      </c>
      <c r="D3" s="128" t="inlineStr">
        <is>
          <t>Lessons Learned Canon Integration</t>
        </is>
      </c>
      <c r="E3" s="129" t="n"/>
      <c r="F3" s="130" t="inlineStr">
        <is>
          <t>Next</t>
        </is>
      </c>
      <c r="G3" s="135" t="inlineStr">
        <is>
          <t>P1</t>
        </is>
      </c>
      <c r="H3" s="132" t="inlineStr">
        <is>
          <t>Canon III defines 8 governing laws (Lessons I:1-I:8) that represent hard-won operational truths. These are not just documentation — they must become detection patterns, validation rules, and failure conditions in the pipeline.</t>
        </is>
      </c>
      <c r="I3" s="132" t="inlineStr">
        <is>
          <t>Convert each Canon III lesson into an enforceable rule: 'Blur not multiplicity' → diagnostic detection rule. 'Authority transfer clarity' → pipeline validation check. 'Stalled scene' → environmental echo chain detector (flag 3+ consecutive atmospheric openings). 'Over-editing risk' → WAVE revision boundary check. 'Adversarial testing required' (I:5) → QA harness requirement.</t>
        </is>
      </c>
      <c r="J3" s="133" t="inlineStr">
        <is>
          <t>lib/canon/lessons.ts, lib/validation/</t>
        </is>
      </c>
      <c r="K3" s="126" t="inlineStr">
        <is>
          <t>Mike + Copilot</t>
        </is>
      </c>
      <c r="L3" s="126" t="inlineStr">
        <is>
          <t>8-12</t>
        </is>
      </c>
      <c r="M3" s="126" t="inlineStr">
        <is>
          <t>0.1</t>
        </is>
      </c>
      <c r="N3" s="132" t="inlineStr">
        <is>
          <t>All 8 Canon III lessons have corresponding detection/validation rules. Rules fire during evaluation pipeline. False positive rate &lt;5% on known-good manuscripts.</t>
        </is>
      </c>
      <c r="O3" s="132" t="inlineStr">
        <is>
          <t>Submit manuscript with known stalled-scene pattern — flagged. Submit with blur pattern — flagged. Submit clean manuscript — no false flags on known-good patterns.</t>
        </is>
      </c>
      <c r="P3" s="126" t="inlineStr">
        <is>
          <t>Yes</t>
        </is>
      </c>
      <c r="Q3" s="132" t="inlineStr">
        <is>
          <t>Lesson I:5 (resistance reveals structure) directly mandates adversarial testing as a governance requirement — feeds into 5.12 QA Corpus.</t>
        </is>
      </c>
      <c r="R3" s="134" t="inlineStr">
        <is>
          <t>Canon III Lessons I:1-I:8 (8 governing laws), Vol II (diagnostic patterns: Environmental Echo Chain, Scene Entry Scan)</t>
        </is>
      </c>
    </row>
    <row r="4" ht="55.5" customHeight="1" s="96">
      <c r="A4" s="126" t="n">
        <v>0</v>
      </c>
      <c r="B4" s="127" t="n">
        <v>0</v>
      </c>
      <c r="C4" s="126" t="inlineStr">
        <is>
          <t>0.3</t>
        </is>
      </c>
      <c r="D4" s="128" t="inlineStr">
        <is>
          <t>Governance Enforcement Injection Map</t>
        </is>
      </c>
      <c r="E4" s="129" t="n"/>
      <c r="F4" s="130" t="inlineStr">
        <is>
          <t>Next</t>
        </is>
      </c>
      <c r="G4" s="135" t="inlineStr">
        <is>
          <t>P1</t>
        </is>
      </c>
      <c r="H4" s="132" t="inlineStr">
        <is>
          <t>Governance rules exist (Vol III, IV) but the roadmap doesn't show WHERE each rule applies in the pipeline. Without explicit injection points, governance is passive documentation, not active enforcement. This is the bridging layer.</t>
        </is>
      </c>
      <c r="I4" s="132" t="inlineStr">
        <is>
          <t>Define injection points for every pipeline stage: (1) Ingestion: format validation, worktype detection. (2) Evaluation: Canon Gate (Pass 1.5), two-AI independence, score thresholds. (3) Synthesis: convergence validation, divergence logging. (4) Revision: WAVE eligibility gate, structural-fail block. (5) Output: Trusted Path certification, audit trail completeness. (6) Artifact generation: non-repudiation, hash chain. Map each Vol IV governance rule to its exact pipeline stage.</t>
        </is>
      </c>
      <c r="J4" s="133" t="inlineStr">
        <is>
          <t>docs/governance/enforcement-map.md, lib/governance/</t>
        </is>
      </c>
      <c r="K4" s="126" t="inlineStr">
        <is>
          <t>Mike + Copilot</t>
        </is>
      </c>
      <c r="L4" s="126" t="inlineStr">
        <is>
          <t>4-6</t>
        </is>
      </c>
      <c r="M4" s="126" t="inlineStr">
        <is>
          <t>0.1</t>
        </is>
      </c>
      <c r="N4" s="132" t="inlineStr">
        <is>
          <t>Every Vol IV governance rule mapped to specific pipeline stage. Every pipeline stage has defined governance checks. No 'governance-free' pipeline stages exist.</t>
        </is>
      </c>
      <c r="O4" s="132" t="inlineStr">
        <is>
          <t>Walk through complete pipeline execution — verify governance check fires at every stage. Attempt to skip governance check — blocked.</t>
        </is>
      </c>
      <c r="P4" s="126" t="inlineStr">
        <is>
          <t>Yes</t>
        </is>
      </c>
      <c r="Q4" s="132" t="inlineStr">
        <is>
          <t>This is the design artifact, not the implementation. Implementation happens in 2.9 (Canon Gate), 5.13 (Audit Spine), 5.14 (Canon Protection). Cross-ref: 0.4 (Canon Guard Runtime) = 2.9 + 5.14 combined. 0.5 (Audit &amp; Proof Layer) = 5.13.</t>
        </is>
      </c>
      <c r="R4" s="134" t="inlineStr">
        <is>
          <t>Vol IV (7 canon protection systems), Vol III Governance (5 non-negotiable platform doctrines), Vol V (AEP 6-step flow with audit events per step)</t>
        </is>
      </c>
    </row>
    <row r="5" ht="55.5" customHeight="1" s="96">
      <c r="A5" s="136" t="n">
        <v>1</v>
      </c>
      <c r="B5" s="136" t="n">
        <v>1</v>
      </c>
      <c r="C5" s="136" t="inlineStr">
        <is>
          <t>1.1</t>
        </is>
      </c>
      <c r="D5" s="137" t="inlineStr">
        <is>
          <t>Canon, Contracts &amp; CI</t>
        </is>
      </c>
      <c r="E5" s="137" t="n"/>
      <c r="F5" s="138" t="inlineStr">
        <is>
          <t>Completed</t>
        </is>
      </c>
      <c r="G5" s="139" t="inlineStr">
        <is>
          <t>P0</t>
        </is>
      </c>
      <c r="H5" s="140" t="inlineStr">
        <is>
          <t>Without canonical naming, schema governance, and CI gates, every later feature risks schema drift, broken routing, and non-auditable output.</t>
        </is>
      </c>
      <c r="I5" s="140" t="inlineStr">
        <is>
          <t>Gate pattern (A5, A6...): spec → implementation → CI proof → closure doc. Versioned artifacts (evaluationresultv1, trajectorysignalv1), JOBCONTRACT, governance docs.</t>
        </is>
      </c>
      <c r="J5" s="137" t="inlineStr">
        <is>
          <t>CI / Artifacts</t>
        </is>
      </c>
      <c r="K5" s="136" t="inlineStr">
        <is>
          <t>Mike + Copilot</t>
        </is>
      </c>
      <c r="L5" s="136" t="inlineStr">
        <is>
          <t>0</t>
        </is>
      </c>
      <c r="M5" s="137" t="inlineStr">
        <is>
          <t>—</t>
        </is>
      </c>
      <c r="N5" s="140" t="inlineStr">
        <is>
          <t>Deterministic, immutable outputs; all artifacts versioned and governed.</t>
        </is>
      </c>
      <c r="O5" s="140" t="n"/>
      <c r="P5" s="140" t="inlineStr">
        <is>
          <t>Yes</t>
        </is>
      </c>
      <c r="Q5" s="140" t="inlineStr">
        <is>
          <t>Stage 2 baseline complete. 5-volume governance docs in place.</t>
        </is>
      </c>
      <c r="R5" s="141" t="inlineStr">
        <is>
          <t>Vol III (Platform Governance), Vol IV (AI Governance), Canon Doctrine Registry, RCAM v2.0, Canon III Lessons I:1-I:8</t>
        </is>
      </c>
    </row>
    <row r="6" ht="55.5" customHeight="1" s="96">
      <c r="A6" s="142" t="n">
        <v>2</v>
      </c>
      <c r="B6" s="142" t="n">
        <v>1</v>
      </c>
      <c r="C6" s="142" t="inlineStr">
        <is>
          <t>1.2</t>
        </is>
      </c>
      <c r="D6" s="143" t="inlineStr">
        <is>
          <t>Flow 1 Evaluation Loop (Gate A5)</t>
        </is>
      </c>
      <c r="E6" s="143" t="n"/>
      <c r="F6" s="138" t="inlineStr">
        <is>
          <t>Completed</t>
        </is>
      </c>
      <c r="G6" s="144" t="inlineStr">
        <is>
          <t>P0</t>
        </is>
      </c>
      <c r="H6" s="145" t="inlineStr">
        <is>
          <t>Proved 'manuscript in, authoritative report out' end-to-end. This is the investable spine of the product.</t>
        </is>
      </c>
      <c r="I6" s="145" t="inlineStr">
        <is>
          <t>Single canonical artifact per job, no recompute on read, idempotent reruns, ownership enforced. Report page reads only stored artifacts.</t>
        </is>
      </c>
      <c r="J6" s="143" t="inlineStr">
        <is>
          <t>Core Engine / Report UI</t>
        </is>
      </c>
      <c r="K6" s="142" t="inlineStr">
        <is>
          <t>Mike + Copilot</t>
        </is>
      </c>
      <c r="L6" s="142" t="inlineStr">
        <is>
          <t>0</t>
        </is>
      </c>
      <c r="M6" s="143" t="inlineStr">
        <is>
          <t>1.1</t>
        </is>
      </c>
      <c r="N6" s="145" t="inlineStr">
        <is>
          <t>Manuscript in → canonical Phase 2 artifact out → report page that reads only stored artifacts.</t>
        </is>
      </c>
      <c r="O6" s="145" t="n"/>
      <c r="P6" s="145" t="inlineStr">
        <is>
          <t>Yes</t>
        </is>
      </c>
      <c r="Q6" s="145" t="inlineStr">
        <is>
          <t>Gate A5 closed.</t>
        </is>
      </c>
      <c r="R6" s="141" t="inlineStr">
        <is>
          <t>Vol II-A (Operational Schema §evaluation envelope), Vol III (Tools §EvaluationResultV1), Vol V (AEP Steps 1-3)</t>
        </is>
      </c>
    </row>
    <row r="7" ht="55.5" customHeight="1" s="96">
      <c r="A7" s="136" t="n">
        <v>3</v>
      </c>
      <c r="B7" s="136" t="n">
        <v>2</v>
      </c>
      <c r="C7" s="136" t="inlineStr">
        <is>
          <t>2.1</t>
        </is>
      </c>
      <c r="D7" s="137" t="inlineStr">
        <is>
          <t>Anchor Metadata System</t>
        </is>
      </c>
      <c r="E7" s="137" t="n"/>
      <c r="F7" s="146" t="inlineStr">
        <is>
          <t>Completed</t>
        </is>
      </c>
      <c r="G7" s="139" t="inlineStr">
        <is>
          <t>P0</t>
        </is>
      </c>
      <c r="H7" s="140" t="inlineStr">
        <is>
          <t>Eliminate apply ambiguity. Every proposal must have precise start/end/context fields so the system knows exactly where to apply changes.</t>
        </is>
      </c>
      <c r="I7" s="140" t="inlineStr">
        <is>
          <t>Add start, end, and context fields to change_proposals. Validate 100% of proposals have valid anchors.</t>
        </is>
      </c>
      <c r="J7" s="137" t="inlineStr">
        <is>
          <t>change_proposals</t>
        </is>
      </c>
      <c r="K7" s="136" t="inlineStr">
        <is>
          <t>Mike + Copilot</t>
        </is>
      </c>
      <c r="L7" s="136" t="inlineStr">
        <is>
          <t>4-6</t>
        </is>
      </c>
      <c r="M7" s="137" t="inlineStr">
        <is>
          <t>1.2</t>
        </is>
      </c>
      <c r="N7" s="140" t="inlineStr">
        <is>
          <t>100% of change_proposals contain valid start_offset, end_offset, and before_context/after_context. 0 nulls accepted. 0 partial anchors. Validation rejects malformed anchors at insert time.</t>
        </is>
      </c>
      <c r="O7" s="140" t="inlineStr">
        <is>
          <t>SQL null check: SELECT COUNT(*) FROM change_proposals WHERE start_offset IS NULL OR end_offset IS NULL → must return 0. Sample 100 proposals → confirm exact alignment with source text. Attempt 5 invalid inserts → all rejected.</t>
        </is>
      </c>
      <c r="P7" s="140" t="inlineStr">
        <is>
          <t>Yes</t>
        </is>
      </c>
      <c r="Q7" s="140" t="inlineStr">
        <is>
          <t>CODE: Complete. TESTS: Verified (4/4 pass). DB VERIFICATION: PASSED (2026-03-18). 6-Gate verification executed against target DB (xtumxjnzdswuumndcbwc): Gate 1 (migration presence) PASSED. Gate 2 (schema completeness — 3 anchor cols) PASSED. Gate 3 (index presence — 2 anchor indexes) PASSED. Gate 4 (core Stage 2 tables) PASSED. Gate 5 (RLS enabled on all 3 tables) PASSED. Gate 6 (anchor row integrity — deterministic slice contract) PASSED: 21 anchored rows verified, source_text.slice(start, end) === original_text for all rows. Data remediation applied: 2 manuscript_versions had empty raw_text (backfilled from file_url data URIs). 15 anchor offsets recomputed to align with decoded raw_text. apply.ts contract confirmed: normalizeForStrictMatch + fail-closed, no legacy text-search fallback for anchored proposals. GATE CLEARED: 2.2 may proceed.</t>
        </is>
      </c>
      <c r="R7" s="141" t="inlineStr">
        <is>
          <t>Vol III Tools (§ChangeProposal schema), Vol III Ops (§III.O4 Stage 2-3)</t>
        </is>
      </c>
    </row>
    <row r="8" ht="55.5" customHeight="1" s="96">
      <c r="A8" s="142" t="n">
        <v>4</v>
      </c>
      <c r="B8" s="142" t="n">
        <v>2</v>
      </c>
      <c r="C8" s="142" t="inlineStr">
        <is>
          <t>2.2</t>
        </is>
      </c>
      <c r="D8" s="143" t="inlineStr">
        <is>
          <t>Proposal Extraction Contract</t>
        </is>
      </c>
      <c r="E8" s="143" t="n"/>
      <c r="F8" s="147" t="inlineStr">
        <is>
          <t>Completed</t>
        </is>
      </c>
      <c r="G8" s="144" t="inlineStr">
        <is>
          <t>P0</t>
        </is>
      </c>
      <c r="H8" s="145" t="inlineStr">
        <is>
          <t>Ensure exact anchors with zero whitespace drift or partial captures. The extraction contract is the bridge between evaluation output and revision input.</t>
        </is>
      </c>
      <c r="I8" s="145" t="inlineStr">
        <is>
          <t>Deterministic extraction contract: source_text.slice(start_offset, end_offset) must exactly reproduce anchor_text_normalized with zero ambiguity. No whitespace drift, no partial captures, no encoding differences. Validate every anchor against source text byte-for-byte. Handle unicode, em-dashes, smart quotes, and multi-byte characters. Extraction is purely mechanical — no inference, no fuzzy matching.</t>
        </is>
      </c>
      <c r="J8" s="143" t="inlineStr">
        <is>
          <t>Proposal logic</t>
        </is>
      </c>
      <c r="K8" s="142" t="inlineStr">
        <is>
          <t>Mike + Copilot</t>
        </is>
      </c>
      <c r="L8" s="142" t="inlineStr">
        <is>
          <t>6-8</t>
        </is>
      </c>
      <c r="M8" s="143" t="inlineStr">
        <is>
          <t>2.1</t>
        </is>
      </c>
      <c r="N8" s="145" t="inlineStr">
        <is>
          <t>source_text.slice(start_offset, end_offset) === anchor_text_normalized for 100% of proposals. 0 whitespace drift. 0 partial captures (every extraction includes complete sentence/clause boundaries). 0 encoding mismatches. Handles unicode, em-dashes, smart quotes. Extraction is deterministic and reproducible — same input always produces same output.</t>
        </is>
      </c>
      <c r="O8" s="145" t="inlineStr">
        <is>
          <t>Substring reconstruction test: reconstruct anchor from source using offsets → must equal original_text. Diff validation across full corpus (not samples): extracted_text === source_slice. Run extraction on 50+ proposals from 3 manuscripts → 0 byte-level differences.</t>
        </is>
      </c>
      <c r="P8" s="145" t="inlineStr">
        <is>
          <t>Yes</t>
        </is>
      </c>
      <c r="Q8" s="145" t="inlineStr">
        <is>
          <t>Phase 2.2 COMPLETED (2026-03-19). 21/21 tests green. validateExtractionContract enforced at proposal creation. No fallback. Fail-closed. | GATE: 2.1 DB verification passed (2026-03-18). 2.2 may proceed. Deterministic formula: source_text.slice(start_offset, end_offset) must exactly reproduce anchor_text_normalized. Output Artifacts: extraction module (lib/evaluation/proposals/extractProposals.ts), extraction diff report (CSV: proposal_id, source_text, extracted_text, match_status), coverage report (≥95% line coverage on extraction logic).</t>
        </is>
      </c>
      <c r="R8" s="141" t="inlineStr">
        <is>
          <t>Vol III Tools (§III.T4 extraction contract), Vol II-A (§evidence excerpt max 200 chars)</t>
        </is>
      </c>
    </row>
    <row r="9" ht="55.5" customHeight="1" s="96">
      <c r="A9" s="136" t="n">
        <v>5</v>
      </c>
      <c r="B9" s="136" t="n">
        <v>2</v>
      </c>
      <c r="C9" s="136" t="inlineStr">
        <is>
          <t>2.3</t>
        </is>
      </c>
      <c r="D9" s="137" t="inlineStr">
        <is>
          <t>Location-Aware Apply</t>
        </is>
      </c>
      <c r="E9" s="137" t="n"/>
      <c r="F9" s="147" t="inlineStr">
        <is>
          <t>Completed</t>
        </is>
      </c>
      <c r="G9" s="139" t="inlineStr">
        <is>
          <t>P0</t>
        </is>
      </c>
      <c r="H9" s="140" t="inlineStr">
        <is>
          <t>Deterministic apply engine: given a valid anchor, the system must apply the change to exactly the right location every time.</t>
        </is>
      </c>
      <c r="I9" s="140" t="inlineStr">
        <is>
          <t>Offset + context validation. Character-level positioning with fallback matching. Idempotent apply logic.</t>
        </is>
      </c>
      <c r="J9" s="137" t="inlineStr">
        <is>
          <t>Finalize logic</t>
        </is>
      </c>
      <c r="K9" s="136" t="inlineStr">
        <is>
          <t>Mike + Copilot</t>
        </is>
      </c>
      <c r="L9" s="136" t="inlineStr">
        <is>
          <t>8-12</t>
        </is>
      </c>
      <c r="M9" s="137" t="inlineStr">
        <is>
          <t>2.2</t>
        </is>
      </c>
      <c r="N9" s="140" t="inlineStr">
        <is>
          <t>≥99.5% correct placement on valid anchors. 0 incorrect placements (wrong location = critical failure). Idempotent: applying same proposal twice produces identical output. Handles multi-byte unicode correctly.</t>
        </is>
      </c>
      <c r="O9" s="140" t="inlineStr">
        <is>
          <t>Batch apply: run 500-1000 proposals through apply engine. Track: success, mismatch, failure type. Rerun consistency: re-run identical batch → outputs must be byte-identical. Edge cases: offset shifted by prior edit, context fallback, overlapping proposals, unicode stress test.</t>
        </is>
      </c>
      <c r="P9" s="140" t="inlineStr">
        <is>
          <t>Yes</t>
        </is>
      </c>
      <c r="Q9" s="140" t="inlineStr">
        <is>
          <t>THE CORE PRODUCT. The apply engine is the product — everything else is presentation. Difficulty: HARD. This is where determinism is either proven or breaks. Do NOT patch edge cases with hacks. Log everything, classify failures (2.4), refine determinism. Output Artifacts: applyEngine.ts, success rate report, test harness (tests/applyEngine/), CI integration.</t>
        </is>
      </c>
      <c r="R9" s="141" t="inlineStr">
        <is>
          <t>Vol V (AEP Step 3 — Apply), Vol III Ops (§III.O8 determinism requirement)</t>
        </is>
      </c>
    </row>
    <row r="10" ht="55.5" customHeight="1" s="96">
      <c r="A10" s="142" t="n">
        <v>6</v>
      </c>
      <c r="B10" s="142" t="n">
        <v>2</v>
      </c>
      <c r="C10" s="142" t="inlineStr">
        <is>
          <t>2.4</t>
        </is>
      </c>
      <c r="D10" s="143" t="inlineStr">
        <is>
          <t>Failure Classification</t>
        </is>
      </c>
      <c r="E10" s="143" t="n"/>
      <c r="F10" s="147" t="inlineStr">
        <is>
          <t>Completed</t>
        </is>
      </c>
      <c r="G10" s="144" t="inlineStr">
        <is>
          <t>P0</t>
        </is>
      </c>
      <c r="H10" s="145" t="inlineStr">
        <is>
          <t>Every failure must be diagnosable. Unclassified failures are invisible failures — they erode trust and make debugging impossible.</t>
        </is>
      </c>
      <c r="I10" s="145" t="inlineStr">
        <is>
          <t>Enumerate failure codes for every apply path. Classify by type (anchor miss, conflict, parse error, etc.) and persist to revision_sessions.</t>
        </is>
      </c>
      <c r="J10" s="143" t="inlineStr">
        <is>
          <t>revision_sessions</t>
        </is>
      </c>
      <c r="K10" s="142" t="inlineStr">
        <is>
          <t>Mike + Copilot</t>
        </is>
      </c>
      <c r="L10" s="142" t="inlineStr">
        <is>
          <t>4-6</t>
        </is>
      </c>
      <c r="M10" s="143" t="inlineStr">
        <is>
          <t>2.3</t>
        </is>
      </c>
      <c r="N10" s="145" t="inlineStr">
        <is>
          <t>100% of failures mapped to defined actionable codes (ANCHOR_MISS, ANCHOR_AMBIGUOUS, CONTEXT_MISMATCH, OFFSET_CONFLICT, PARSE_ERROR, APPLY_COLLISION). 0 'unknown' failures on reproducible scenarios. All failure types persisted in revision_sessions with failure_code, failure_detail, failure_timestamp.</t>
        </is>
      </c>
      <c r="O10" s="145" t="inlineStr">
        <is>
          <t>Force failure scenarios: bad anchor, ambiguous match, missing source, overlapping edits, corrupt input. Verify each produces correct failure_code + correct failure_message. Query: SELECT * FROM revision_sessions WHERE status='failed' AND failure_code IS NULL → must return 0 rows.</t>
        </is>
      </c>
      <c r="P10" s="145" t="inlineStr">
        <is>
          <t>Yes</t>
        </is>
      </c>
      <c r="Q10" s="145" t="inlineStr">
        <is>
          <t>COMPLETED at abe6146. Engine hardening: 10 suites/100 tests. Pack A (27 tests), Pack C (24 tests), Pack D (182/182 valid, 0 wrong-location), Pack F (100k soak: 0 unclassified, 0 wrong-location, 0 lost writes). Fail-closed malformed-candidate fix shipped. Operations docs spine published.</t>
        </is>
      </c>
      <c r="R10" s="141" t="inlineStr">
        <is>
          <t>Vol V (§V.11 reliability model, dead-letter), Vol IV (§IV.G4.3 violation severity classes)</t>
        </is>
      </c>
    </row>
    <row r="11" ht="55.5" customHeight="1" s="96">
      <c r="A11" s="136" t="n">
        <v>7</v>
      </c>
      <c r="B11" s="136" t="n">
        <v>2</v>
      </c>
      <c r="C11" s="136" t="inlineStr">
        <is>
          <t>2.5</t>
        </is>
      </c>
      <c r="D11" s="137" t="inlineStr">
        <is>
          <t>Stage 2.5 Validation</t>
        </is>
      </c>
      <c r="E11" s="137" t="n"/>
      <c r="F11" s="147" t="inlineStr">
        <is>
          <t>Completed</t>
        </is>
      </c>
      <c r="G11" s="139" t="inlineStr">
        <is>
          <t>P0</t>
        </is>
      </c>
      <c r="H11" s="140" t="inlineStr">
        <is>
          <t>Verify that the entire anchor → extract → apply pipeline is deterministic. Repeat runs must produce identical outputs.</t>
        </is>
      </c>
      <c r="I11" s="140" t="inlineStr">
        <is>
          <t>Test harness: run the same manuscript through the pipeline N times. Compare outputs byte-for-byte. CI integration.</t>
        </is>
      </c>
      <c r="J11" s="137" t="inlineStr">
        <is>
          <t>CI / Test harness</t>
        </is>
      </c>
      <c r="K11" s="136" t="inlineStr">
        <is>
          <t>Mike</t>
        </is>
      </c>
      <c r="L11" s="136" t="inlineStr">
        <is>
          <t>2-4</t>
        </is>
      </c>
      <c r="M11" s="137" t="inlineStr">
        <is>
          <t>2.4</t>
        </is>
      </c>
      <c r="N11" s="140" t="inlineStr">
        <is>
          <t>Identical outputs every run across full test suite.</t>
        </is>
      </c>
      <c r="O11" s="140" t="n"/>
      <c r="P11" s="140" t="inlineStr">
        <is>
          <t>No</t>
        </is>
      </c>
      <c r="Q11" s="140" t="inlineStr">
        <is>
          <t>COMPLETED at 48aa4c9 (2026-03-19). Deterministic matrix: 5 success cases (single, multi-proposal, literary prose, dialogue, multi-paragraph), 3 failure cases (PARSE_ERROR, ANCHOR_MISS, OFFSET_CONFLICT). 9/9 ingest, 9/9 extract, 9/9 validate, 9/9 apply. Repeated-run byte identity: true. 3 archived evidence runs. Closure doc published.</t>
        </is>
      </c>
      <c r="R11" s="141" t="inlineStr">
        <is>
          <t>Vol III Ops (§III.O8 determinism), Vol V (§V.11 idempotency), Canon III Lesson I:5 (resistance reveals structure)</t>
        </is>
      </c>
    </row>
    <row r="12" ht="55.5" customHeight="1" s="96">
      <c r="A12" s="142" t="n">
        <v>8</v>
      </c>
      <c r="B12" s="142" t="n">
        <v>2</v>
      </c>
      <c r="C12" s="142" t="inlineStr">
        <is>
          <t>2.6</t>
        </is>
      </c>
      <c r="D12" s="143" t="inlineStr">
        <is>
          <t>A6 Report Credibility Layer</t>
        </is>
      </c>
      <c r="E12" s="143" t="n"/>
      <c r="F12" s="147" t="inlineStr">
        <is>
          <t>Completed</t>
        </is>
      </c>
      <c r="G12" s="148" t="inlineStr">
        <is>
          <t>P1</t>
        </is>
      </c>
      <c r="H12" s="145" t="inlineStr">
        <is>
          <t>A writer must see 'why 8.3?' in plain language before they'll trust anything more advanced. Score explanations, rubric breakdown, confidence, and provenance — all from persisted artifacts.</t>
        </is>
      </c>
      <c r="I12" s="145" t="inlineStr">
        <is>
          <t>Extend evaluationresultv1 content with rubric items and credibility block (no new tables). Render 'Why this score?' section in report UI (no recompute, artifact-only).</t>
        </is>
      </c>
      <c r="J12" s="143" t="inlineStr">
        <is>
          <t>Report UI / evaluationresultv1</t>
        </is>
      </c>
      <c r="K12" s="142" t="inlineStr">
        <is>
          <t>Mike + Copilot</t>
        </is>
      </c>
      <c r="L12" s="142" t="inlineStr">
        <is>
          <t>6-8</t>
        </is>
      </c>
      <c r="M12" s="143" t="inlineStr">
        <is>
          <t>1.2</t>
        </is>
      </c>
      <c r="N12" s="145" t="inlineStr">
        <is>
          <t>Rubric breakdown, score explanations, confidence, and provenance visible on report. Zero recomputation on read.</t>
        </is>
      </c>
      <c r="O12" s="145" t="inlineStr">
        <is>
          <t>4 unit tests (credibility, missing-refs, phantom-anchor, confidence-richness) + 1 artifact output test (JSON+MD write verification) + evidence run validation</t>
        </is>
      </c>
      <c r="P12" s="145" t="inlineStr">
        <is>
          <t>No</t>
        </is>
      </c>
      <c r="Q12" s="145" t="inlineStr">
        <is>
          <t>COMPLETED at 0b0b657, verified at 38d9c19, closure doc landed at 66b84e4 (2026-03-19). 6 modules: types.ts, buildA6Report.ts, confidence.ts, provenance.ts, validateA6Report.ts, writeA6Artifacts.ts. 5 tests: rubric+confidence+provenance, missing-evidence-refs, phantom-anchor, confidence-richness, artifact-output. Evidence: narrative_cohesion 8.5/10, tone_consistency 8.9/10, overall 8.7, confidence 0.9, 2 provenance entries, offsets [4,22) [43,86) consistent. All invariants pass. Closure doc: 214 lines on main, fully populated.</t>
        </is>
      </c>
      <c r="R12" s="141" t="inlineStr">
        <is>
          <t>Vol II (13 Criteria + diagnostic framework), Vol II-A (§WCS computation, eligibility gates), Vol III Ops (§score thresholds 50/60/65/80)</t>
        </is>
      </c>
    </row>
    <row r="13" ht="55.5" customHeight="1" s="96">
      <c r="A13" s="136" t="n">
        <v>9</v>
      </c>
      <c r="B13" s="136" t="n">
        <v>2</v>
      </c>
      <c r="C13" s="136" t="inlineStr">
        <is>
          <t>2.7</t>
        </is>
      </c>
      <c r="D13" s="137" t="inlineStr">
        <is>
          <t>Evaluation Uplift (Pass 1-4, Dual Axis)</t>
        </is>
      </c>
      <c r="E13" s="137" t="n"/>
      <c r="F13" s="147" t="inlineStr">
        <is>
          <t>In Progress</t>
        </is>
      </c>
      <c r="G13" s="149" t="inlineStr">
        <is>
          <t>P1</t>
        </is>
      </c>
      <c r="H13" s="140" t="inlineStr">
        <is>
          <t>The psychological shift from 'grader' to 'trusted editor.' Dual-axis evaluation: Craft Execution + Editorial/Literary Insight, with quality guards that prevent generic or duplicated output.</t>
        </is>
      </c>
      <c r="I13" s="140" t="inlineStr">
        <is>
          <t>Multi-pass pipeline: structural → intent/genre → interpretive → synthesis. Guards: no duplicated recs vs summary, no generic recs (must anchor to character/scene/event), no pretending full coverage when partial.</t>
        </is>
      </c>
      <c r="J13" s="137" t="inlineStr">
        <is>
          <t>Evaluation pipeline</t>
        </is>
      </c>
      <c r="K13" s="136" t="inlineStr">
        <is>
          <t>Mike + Copilot</t>
        </is>
      </c>
      <c r="L13" s="136" t="inlineStr">
        <is>
          <t>12-16</t>
        </is>
      </c>
      <c r="M13" s="137" t="inlineStr">
        <is>
          <t>2.6</t>
        </is>
      </c>
      <c r="N13" s="140" t="inlineStr">
        <is>
          <t>Dual-axis scores. Zero generic recommendations. All recs anchored to specific text. Quality guards pass CI.</t>
        </is>
      </c>
      <c r="O13" s="140" t="inlineStr">
        <is>
          <t>6 test suites: pass1, pass2, pass3, pipeline-e2e, pipeline-independence, quality-gate. 52 tests total. Pure parser tests + DI runner tests + deterministic quality gate. npm test -- tests/evaluation/pipeline/ --runInBand</t>
        </is>
      </c>
      <c r="P13" s="140" t="inlineStr">
        <is>
          <t>No</t>
        </is>
      </c>
      <c r="Q13" s="140" t="inlineStr">
        <is>
          <t>IN PROGRESS at a6f0492, 9ef8afe, c91f26c (2026-03-19). Pipeline scaffold implemented: Pass 1, Pass 2, Pass 3, orchestration runner, prompts, quality gate, and deterministic parser-level test seams. Jest/SWC mock-hoisting issue removed via dependency injection and pure parser tests. Pipeline suite green: 6 suites, 52 tests passing.</t>
        </is>
      </c>
      <c r="R13" s="141" t="inlineStr">
        <is>
          <t>Vol II (13 Criteria, 10 diagnostic patterns), Vol III Tools (§PASS1/PASS2/PASS3 prompts, temperatures 0.3/0.2), Vol IV (§multi-AI consensus)</t>
        </is>
      </c>
    </row>
    <row r="14" ht="55.5" customHeight="1" s="96">
      <c r="A14" s="142" t="n">
        <v>10</v>
      </c>
      <c r="B14" s="142" t="n">
        <v>2</v>
      </c>
      <c r="C14" s="142" t="inlineStr">
        <is>
          <t>2.8</t>
        </is>
      </c>
      <c r="D14" s="143" t="inlineStr">
        <is>
          <t>Multi-Chunk Evaluation Synthesis</t>
        </is>
      </c>
      <c r="E14" s="143" t="n"/>
      <c r="F14" s="147" t="inlineStr">
        <is>
          <t>Next</t>
        </is>
      </c>
      <c r="G14" s="148" t="inlineStr">
        <is>
          <t>P1</t>
        </is>
      </c>
      <c r="H14" s="145" t="inlineStr">
        <is>
          <t>Core promise is 'whole-work editorial intelligence,' not 'first 10K words.' Must handle full manuscripts and screenplays via chunking with aggregate memory.</t>
        </is>
      </c>
      <c r="I14" s="145" t="inlineStr">
        <is>
          <t>Ensure 100% text coverage or explicit 'partial evaluation' labeling. Aggregate per-criterion signals across chunks into the 13-criterion rubric. Unified result artifact.</t>
        </is>
      </c>
      <c r="J14" s="143" t="inlineStr">
        <is>
          <t>Evaluation pipeline</t>
        </is>
      </c>
      <c r="K14" s="142" t="inlineStr">
        <is>
          <t>Mike + Copilot</t>
        </is>
      </c>
      <c r="L14" s="142" t="inlineStr">
        <is>
          <t>10-14</t>
        </is>
      </c>
      <c r="M14" s="143" t="inlineStr">
        <is>
          <t>2.7</t>
        </is>
      </c>
      <c r="N14" s="145" t="inlineStr">
        <is>
          <t>100% coverage or explicit partial labeling. Unified rubric scores across all chunks.</t>
        </is>
      </c>
      <c r="O14" s="145" t="n"/>
      <c r="P14" s="145" t="inlineStr">
        <is>
          <t>No</t>
        </is>
      </c>
      <c r="Q14" s="145" t="inlineStr">
        <is>
          <t>Must land before heavy product UX work.</t>
        </is>
      </c>
      <c r="R14" s="141" t="inlineStr">
        <is>
          <t>Vol V (§V.5 chunking architecture, whole-manuscript reconciliation)</t>
        </is>
      </c>
    </row>
    <row r="15" ht="55.5" customHeight="1" s="96">
      <c r="A15" s="136" t="n">
        <v>11</v>
      </c>
      <c r="B15" s="136" t="n">
        <v>3</v>
      </c>
      <c r="C15" s="136" t="inlineStr">
        <is>
          <t>3.1</t>
        </is>
      </c>
      <c r="D15" s="137" t="inlineStr">
        <is>
          <t>State Machine (Session Lifecycle)</t>
        </is>
      </c>
      <c r="E15" s="137" t="n"/>
      <c r="F15" s="147" t="inlineStr">
        <is>
          <t>Next</t>
        </is>
      </c>
      <c r="G15" s="149" t="inlineStr">
        <is>
          <t>P1</t>
        </is>
      </c>
      <c r="H15" s="140" t="inlineStr">
        <is>
          <t>Explicit lifecycle for revision sessions. Without defined states and transitions, sessions can drift into invalid or unrecoverable states.</t>
        </is>
      </c>
      <c r="I15" s="140" t="inlineStr">
        <is>
          <t>Define lifecycle states (created → evaluating → proposing → applying → reviewing → closed). Enforce valid transitions. Persist state to revision_sessions.</t>
        </is>
      </c>
      <c r="J15" s="137" t="inlineStr">
        <is>
          <t>revision_sessions</t>
        </is>
      </c>
      <c r="K15" s="136" t="inlineStr">
        <is>
          <t>Mike + Copilot</t>
        </is>
      </c>
      <c r="L15" s="136" t="inlineStr">
        <is>
          <t>8-12</t>
        </is>
      </c>
      <c r="M15" s="137" t="inlineStr">
        <is>
          <t>2.5</t>
        </is>
      </c>
      <c r="N15" s="140" t="inlineStr">
        <is>
          <t>100% valid state transitions. No orphaned or stuck sessions.</t>
        </is>
      </c>
      <c r="O15" s="140" t="n"/>
      <c r="P15" s="140" t="inlineStr">
        <is>
          <t>No</t>
        </is>
      </c>
      <c r="Q15" s="140" t="inlineStr">
        <is>
          <t>Foundation for the revision loop and WAVE.</t>
        </is>
      </c>
      <c r="R15" s="141" t="inlineStr">
        <is>
          <t>Vol III Tools (§III.T9 approval workflow), Vol V (§evaluation lifecycle state machine)</t>
        </is>
      </c>
    </row>
    <row r="16" ht="55.5" customHeight="1" s="96">
      <c r="A16" s="142" t="n">
        <v>12</v>
      </c>
      <c r="B16" s="142" t="n">
        <v>3</v>
      </c>
      <c r="C16" s="142" t="inlineStr">
        <is>
          <t>3.2</t>
        </is>
      </c>
      <c r="D16" s="143" t="inlineStr">
        <is>
          <t>Transition Engine</t>
        </is>
      </c>
      <c r="E16" s="143" t="n"/>
      <c r="F16" s="147" t="inlineStr">
        <is>
          <t>Next</t>
        </is>
      </c>
      <c r="G16" s="148" t="inlineStr">
        <is>
          <t>P1</t>
        </is>
      </c>
      <c r="H16" s="145" t="inlineStr">
        <is>
          <t>Prevent invalid state transitions that could corrupt sessions or produce inconsistent outputs.</t>
        </is>
      </c>
      <c r="I16" s="145" t="inlineStr">
        <is>
          <t>Validation function that checks current state + requested transition against the allowed transition matrix. Reject and log illegal transitions.</t>
        </is>
      </c>
      <c r="J16" s="143" t="inlineStr">
        <is>
          <t>Service layer</t>
        </is>
      </c>
      <c r="K16" s="142" t="inlineStr">
        <is>
          <t>Mike + Copilot</t>
        </is>
      </c>
      <c r="L16" s="142" t="inlineStr">
        <is>
          <t>4-6</t>
        </is>
      </c>
      <c r="M16" s="143" t="inlineStr">
        <is>
          <t>3.1</t>
        </is>
      </c>
      <c r="N16" s="145" t="inlineStr">
        <is>
          <t>0 illegal transitions in production. All rejections logged.</t>
        </is>
      </c>
      <c r="O16" s="145" t="n"/>
      <c r="P16" s="145" t="inlineStr">
        <is>
          <t>No</t>
        </is>
      </c>
      <c r="Q16" s="145" t="n"/>
      <c r="R16" s="141" t="inlineStr">
        <is>
          <t>Vol III Ops (§III.O8 state transitions), Vol IV (§governance state lifecycle)</t>
        </is>
      </c>
    </row>
    <row r="17" ht="55.5" customHeight="1" s="96">
      <c r="A17" s="136" t="n">
        <v>13</v>
      </c>
      <c r="B17" s="136" t="n">
        <v>3</v>
      </c>
      <c r="C17" s="136" t="inlineStr">
        <is>
          <t>3.3</t>
        </is>
      </c>
      <c r="D17" s="137" t="inlineStr">
        <is>
          <t>Interactive Revision Engine (WAVE)</t>
        </is>
      </c>
      <c r="E17" s="137" t="n"/>
      <c r="F17" s="150" t="inlineStr">
        <is>
          <t>Planned</t>
        </is>
      </c>
      <c r="G17" s="149" t="inlineStr">
        <is>
          <t>P1</t>
        </is>
      </c>
      <c r="H17" s="140" t="inlineStr">
        <is>
          <t>This is where RevisionGrade stops being a diagnostic and becomes a coach. For each flagged issue: show sentence, explain why it's problematic, offer three alternatives + 'edit your own,' accept/reject, progress to closed document state.</t>
        </is>
      </c>
      <c r="I17" s="140" t="inlineStr">
        <is>
          <t>Use evaluationresultv1 + WAVE to produce Issue + Suggestion objects per sentence/section. Build a pass UI that iterates issues until no open items remain. Persist versions for before/after comparison (feeds ATI later).</t>
        </is>
      </c>
      <c r="J17" s="137" t="inlineStr">
        <is>
          <t>WAVE / Report UI</t>
        </is>
      </c>
      <c r="K17" s="136" t="inlineStr">
        <is>
          <t>Mike + Copilot</t>
        </is>
      </c>
      <c r="L17" s="136" t="inlineStr">
        <is>
          <t>16-24</t>
        </is>
      </c>
      <c r="M17" s="137" t="inlineStr">
        <is>
          <t>2.8 + 3.2</t>
        </is>
      </c>
      <c r="N17" s="140" t="inlineStr">
        <is>
          <t>Full issue iteration. Accept/reject/edit workflow. Document reaches 'closed' state. Version history persisted.</t>
        </is>
      </c>
      <c r="O17" s="140" t="n"/>
      <c r="P17" s="140" t="inlineStr">
        <is>
          <t>No</t>
        </is>
      </c>
      <c r="Q17" s="140" t="inlineStr">
        <is>
          <t>The single most important product differentiator. Depends on credible evaluation AND state machine.</t>
        </is>
      </c>
      <c r="R17" s="141" t="inlineStr">
        <is>
          <t>Vol I (62-wave WAVE system, 3 tsunamis, 10 binding execution rules), Vol III (§WAVE enforcement modules)</t>
        </is>
      </c>
    </row>
    <row r="18" ht="55.5" customHeight="1" s="96">
      <c r="A18" s="142" t="n">
        <v>14</v>
      </c>
      <c r="B18" s="142" t="n">
        <v>3</v>
      </c>
      <c r="C18" s="142" t="inlineStr">
        <is>
          <t>3.4</t>
        </is>
      </c>
      <c r="D18" s="143" t="inlineStr">
        <is>
          <t>Flexible Upload + Multi-Scope Support</t>
        </is>
      </c>
      <c r="E18" s="143" t="n"/>
      <c r="F18" s="150" t="inlineStr">
        <is>
          <t>Planned</t>
        </is>
      </c>
      <c r="G18" s="148" t="inlineStr">
        <is>
          <t>P1</t>
        </is>
      </c>
      <c r="H18" s="145" t="inlineStr">
        <is>
          <t>Promise is 'anything from a paragraph to a screenplay,' so evaluation + revision flows must treat paragraphs, chapters, full manuscripts, scenes, and screenplays as first-class.</t>
        </is>
      </c>
      <c r="I18" s="145" t="inlineStr">
        <is>
          <t>Use worktype/intent pipeline to set expectations and weighting. Reuse evaluation + revision loop; only the view (chapter vs scene vs script format) changes. Auto-chunking and type tagging.</t>
        </is>
      </c>
      <c r="J18" s="143" t="inlineStr">
        <is>
          <t>Upload / Evaluation pipeline</t>
        </is>
      </c>
      <c r="K18" s="142" t="inlineStr">
        <is>
          <t>Mike + Copilot</t>
        </is>
      </c>
      <c r="L18" s="142" t="inlineStr">
        <is>
          <t>8-12</t>
        </is>
      </c>
      <c r="M18" s="143" t="inlineStr">
        <is>
          <t>2.8</t>
        </is>
      </c>
      <c r="N18" s="145" t="inlineStr">
        <is>
          <t>All work types (paragraph, chapter, manuscript, scene, screenplay) evaluate and revise correctly.</t>
        </is>
      </c>
      <c r="O18" s="145" t="n"/>
      <c r="P18" s="145" t="inlineStr">
        <is>
          <t>No</t>
        </is>
      </c>
      <c r="Q18" s="145" t="inlineStr">
        <is>
          <t>Backend partially there; needs UX and flow work.</t>
        </is>
      </c>
      <c r="R18" s="141" t="inlineStr">
        <is>
          <t>Vol I (§Standard Wave Template, §Velocity Bundle), Vol II-A (§worktype routing)</t>
        </is>
      </c>
    </row>
    <row r="19" ht="55.5" customHeight="1" s="96">
      <c r="A19" s="136" t="n">
        <v>15</v>
      </c>
      <c r="B19" s="136" t="n">
        <v>3</v>
      </c>
      <c r="C19" s="136" t="inlineStr">
        <is>
          <t>3.5</t>
        </is>
      </c>
      <c r="D19" s="137" t="inlineStr">
        <is>
          <t>Session Metrics</t>
        </is>
      </c>
      <c r="E19" s="137" t="n"/>
      <c r="F19" s="150" t="inlineStr">
        <is>
          <t>Planned</t>
        </is>
      </c>
      <c r="G19" s="151" t="inlineStr">
        <is>
          <t>P2</t>
        </is>
      </c>
      <c r="H19" s="140" t="inlineStr">
        <is>
          <t>Observability into what's happening inside revision sessions. Without counters and timestamps, you can't diagnose performance or track usage patterns.</t>
        </is>
      </c>
      <c r="I19" s="140" t="inlineStr">
        <is>
          <t>Add counters (proposals generated, applied, rejected, failed) + timestamps (created, last_active, closed) to revision_sessions DB fields.</t>
        </is>
      </c>
      <c r="J19" s="137" t="inlineStr">
        <is>
          <t>DB fields</t>
        </is>
      </c>
      <c r="K19" s="136" t="inlineStr">
        <is>
          <t>Mike + Copilot</t>
        </is>
      </c>
      <c r="L19" s="136" t="inlineStr">
        <is>
          <t>4-6</t>
        </is>
      </c>
      <c r="M19" s="137" t="inlineStr">
        <is>
          <t>3.1</t>
        </is>
      </c>
      <c r="N19" s="140" t="inlineStr">
        <is>
          <t>Counters match DB rows. Timestamps accurate to second.</t>
        </is>
      </c>
      <c r="O19" s="140" t="n"/>
      <c r="P19" s="140" t="inlineStr">
        <is>
          <t>No</t>
        </is>
      </c>
      <c r="Q19" s="140" t="n"/>
      <c r="R19" s="141" t="inlineStr">
        <is>
          <t>Vol III Ops (§III.O6 audit logging), Vol V (§V.11 observability)</t>
        </is>
      </c>
    </row>
    <row r="20" ht="55.5" customHeight="1" s="96">
      <c r="A20" s="142" t="n">
        <v>16</v>
      </c>
      <c r="B20" s="142" t="n">
        <v>4</v>
      </c>
      <c r="C20" s="142" t="inlineStr">
        <is>
          <t>4.1</t>
        </is>
      </c>
      <c r="D20" s="143" t="inlineStr">
        <is>
          <t>Chapter → Screenplay Conversion</t>
        </is>
      </c>
      <c r="E20" s="143" t="n"/>
      <c r="F20" s="150" t="inlineStr">
        <is>
          <t>Planned</t>
        </is>
      </c>
      <c r="G20" s="152" t="inlineStr">
        <is>
          <t>P2</t>
        </is>
      </c>
      <c r="H20" s="145" t="inlineStr">
        <is>
          <t>Let authors reuse their IP across publishing and film. Increases the value of the evaluation engine by making it a creative tool, not just a diagnostic.</t>
        </is>
      </c>
      <c r="I20" s="145" t="inlineStr">
        <is>
          <t>Define explicit conversion rules (sluglines, dialogue extraction, scene boundaries). Treat converted output as a new 'work' that can be evaluated/revised again.</t>
        </is>
      </c>
      <c r="J20" s="143" t="inlineStr">
        <is>
          <t>Conversion service</t>
        </is>
      </c>
      <c r="K20" s="142" t="inlineStr">
        <is>
          <t>Mike</t>
        </is>
      </c>
      <c r="L20" s="142" t="inlineStr">
        <is>
          <t>10-14</t>
        </is>
      </c>
      <c r="M20" s="143" t="inlineStr">
        <is>
          <t>3.3</t>
        </is>
      </c>
      <c r="N20" s="145" t="inlineStr">
        <is>
          <t>Converted screenplays pass format validation. Original structure preserved.</t>
        </is>
      </c>
      <c r="O20" s="145" t="n"/>
      <c r="P20" s="145" t="inlineStr">
        <is>
          <t>No</t>
        </is>
      </c>
      <c r="Q20" s="145" t="n"/>
      <c r="R20" s="141" t="inlineStr">
        <is>
          <t>Vol V (§V.1 certified artifact types — screenplay), Vol I (§Tsunami structure mapping)</t>
        </is>
      </c>
    </row>
    <row r="21" ht="55.5" customHeight="1" s="96">
      <c r="A21" s="136" t="n">
        <v>17</v>
      </c>
      <c r="B21" s="136" t="n">
        <v>4</v>
      </c>
      <c r="C21" s="136" t="inlineStr">
        <is>
          <t>4.2</t>
        </is>
      </c>
      <c r="D21" s="137" t="inlineStr">
        <is>
          <t>Manuscript → Full Screenplay</t>
        </is>
      </c>
      <c r="E21" s="137" t="n"/>
      <c r="F21" s="150" t="inlineStr">
        <is>
          <t>Planned</t>
        </is>
      </c>
      <c r="G21" s="151" t="inlineStr">
        <is>
          <t>P2</t>
        </is>
      </c>
      <c r="H21" s="140" t="inlineStr">
        <is>
          <t>Extends chapter conversion to full-manuscript scope. Respects overall narrative structure and act boundaries.</t>
        </is>
      </c>
      <c r="I21" s="140" t="inlineStr">
        <is>
          <t>Map manuscript structure (parts, chapters) to screenplay structure (acts, sequences, scenes). Batch conversion with continuity checks.</t>
        </is>
      </c>
      <c r="J21" s="137" t="inlineStr">
        <is>
          <t>Conversion service</t>
        </is>
      </c>
      <c r="K21" s="136" t="inlineStr">
        <is>
          <t>Mike</t>
        </is>
      </c>
      <c r="L21" s="136" t="inlineStr">
        <is>
          <t>12-16</t>
        </is>
      </c>
      <c r="M21" s="137" t="inlineStr">
        <is>
          <t>4.1</t>
        </is>
      </c>
      <c r="N21" s="140" t="inlineStr">
        <is>
          <t>Full manuscript converts with correct act structure and scene continuity.</t>
        </is>
      </c>
      <c r="O21" s="140" t="n"/>
      <c r="P21" s="140" t="inlineStr">
        <is>
          <t>No</t>
        </is>
      </c>
      <c r="Q21" s="140" t="n"/>
      <c r="R21" s="141" t="inlineStr">
        <is>
          <t>Vol V (§V.1 certified artifact types — screenplay), Vol I (§narrative structure mapping)</t>
        </is>
      </c>
    </row>
    <row r="22" ht="55.5" customHeight="1" s="96">
      <c r="A22" s="142" t="n">
        <v>18</v>
      </c>
      <c r="B22" s="142" t="n">
        <v>4</v>
      </c>
      <c r="C22" s="142" t="inlineStr">
        <is>
          <t>4.3</t>
        </is>
      </c>
      <c r="D22" s="143" t="inlineStr">
        <is>
          <t>Agent Query Package</t>
        </is>
      </c>
      <c r="E22" s="143" t="n"/>
      <c r="F22" s="150" t="inlineStr">
        <is>
          <t>Planned</t>
        </is>
      </c>
      <c r="G22" s="152" t="inlineStr">
        <is>
          <t>P2</t>
        </is>
      </c>
      <c r="H22" s="145" t="inlineStr">
        <is>
          <t>Bridges the gap from 'good manuscript' to 'submission ready.' Agents care about the package, not just the prose.</t>
        </is>
      </c>
      <c r="I22" s="145" t="inlineStr">
        <is>
          <t>From revised work + author resume, generate: author bio, synopsis, pitch, three comps, and query letter. Use evaluationresultv1 + WAVE insights to inform pitch and comps. Editable templates; persist as package artifact.</t>
        </is>
      </c>
      <c r="J22" s="143" t="inlineStr">
        <is>
          <t>Export / Package service</t>
        </is>
      </c>
      <c r="K22" s="142" t="inlineStr">
        <is>
          <t>Mike</t>
        </is>
      </c>
      <c r="L22" s="142" t="inlineStr">
        <is>
          <t>8-12</t>
        </is>
      </c>
      <c r="M22" s="143" t="inlineStr">
        <is>
          <t>3.3</t>
        </is>
      </c>
      <c r="N22" s="145" t="inlineStr">
        <is>
          <t>Complete query package generated. All fields editable. Package persisted as artifact.</t>
        </is>
      </c>
      <c r="O22" s="145" t="n"/>
      <c r="P22" s="145" t="inlineStr">
        <is>
          <t>No</t>
        </is>
      </c>
      <c r="Q22" s="145" t="n"/>
      <c r="R22" s="141" t="inlineStr">
        <is>
          <t>Vol V (§V.1 certified artifact types — submission kit), Vol II-A (§agent-ready WCS ≥8.5)</t>
        </is>
      </c>
    </row>
    <row r="23" ht="55.5" customHeight="1" s="96">
      <c r="A23" s="136" t="n">
        <v>19</v>
      </c>
      <c r="B23" s="136" t="n">
        <v>4</v>
      </c>
      <c r="C23" s="136" t="inlineStr">
        <is>
          <t>4.4</t>
        </is>
      </c>
      <c r="D23" s="137" t="inlineStr">
        <is>
          <t>Film Adaptation Package (12-Slide Deck)</t>
        </is>
      </c>
      <c r="E23" s="137" t="n"/>
      <c r="F23" s="150" t="inlineStr">
        <is>
          <t>Planned</t>
        </is>
      </c>
      <c r="G23" s="151" t="inlineStr">
        <is>
          <t>P2</t>
        </is>
      </c>
      <c r="H23" s="140" t="inlineStr">
        <is>
          <t>Gives screenwriters something producers and execs recognize immediately: logline, characters, acts, set pieces, tone, comps.</t>
        </is>
      </c>
      <c r="I23" s="140" t="inlineStr">
        <is>
          <t>Define slide schema (12 slides). Map narrative structure + evaluation insights into schema. Generate deck from persisted artifacts.</t>
        </is>
      </c>
      <c r="J23" s="137" t="inlineStr">
        <is>
          <t>Export / Deck generation</t>
        </is>
      </c>
      <c r="K23" s="136" t="inlineStr">
        <is>
          <t>Mike</t>
        </is>
      </c>
      <c r="L23" s="136" t="inlineStr">
        <is>
          <t>8-12</t>
        </is>
      </c>
      <c r="M23" s="137" t="inlineStr">
        <is>
          <t>4.2</t>
        </is>
      </c>
      <c r="N23" s="140" t="inlineStr">
        <is>
          <t>12-slide deck generated with all required sections. Consistent with evaluation data.</t>
        </is>
      </c>
      <c r="O23" s="140" t="n"/>
      <c r="P23" s="140" t="inlineStr">
        <is>
          <t>No</t>
        </is>
      </c>
      <c r="Q23" s="140" t="n"/>
      <c r="R23" s="141" t="inlineStr">
        <is>
          <t>Vol V (§V.10 certified artifact bundle), Vol II (§13-criteria summary for industry output)</t>
        </is>
      </c>
    </row>
    <row r="24" ht="55.5" customHeight="1" s="96">
      <c r="A24" s="142" t="n">
        <v>20</v>
      </c>
      <c r="B24" s="142" t="n">
        <v>5</v>
      </c>
      <c r="C24" s="142" t="inlineStr">
        <is>
          <t>5.1</t>
        </is>
      </c>
      <c r="D24" s="143" t="inlineStr">
        <is>
          <t>Telemetry Dashboard</t>
        </is>
      </c>
      <c r="E24" s="143" t="n"/>
      <c r="F24" s="150" t="inlineStr">
        <is>
          <t>Planned</t>
        </is>
      </c>
      <c r="G24" s="152" t="inlineStr">
        <is>
          <t>P2</t>
        </is>
      </c>
      <c r="H24" s="145" t="inlineStr">
        <is>
          <t>System visibility: you need to see what's happening across all jobs, sessions, and failures before you can scale.</t>
        </is>
      </c>
      <c r="I24" s="145" t="inlineStr">
        <is>
          <t>Metrics dashboard in Admin UI. All counters from session metrics queryable. Job state queries, basic SLA alerting.</t>
        </is>
      </c>
      <c r="J24" s="143" t="inlineStr">
        <is>
          <t>Admin UI</t>
        </is>
      </c>
      <c r="K24" s="142" t="inlineStr">
        <is>
          <t>Mike</t>
        </is>
      </c>
      <c r="L24" s="142" t="inlineStr">
        <is>
          <t>12-16</t>
        </is>
      </c>
      <c r="M24" s="143" t="inlineStr">
        <is>
          <t>3.5</t>
        </is>
      </c>
      <c r="N24" s="145" t="inlineStr">
        <is>
          <t>All metrics queryable. SLA alerts functional.</t>
        </is>
      </c>
      <c r="O24" s="145" t="n"/>
      <c r="P24" s="145" t="inlineStr">
        <is>
          <t>No</t>
        </is>
      </c>
      <c r="Q24" s="145" t="inlineStr">
        <is>
          <t>Part of Reliability Phase C (D1-D5).</t>
        </is>
      </c>
      <c r="R24" s="141" t="inlineStr">
        <is>
          <t>Vol III Ops (§III.O6 analytics dashboard), Vol V (§V.11 health dashboard)</t>
        </is>
      </c>
    </row>
    <row r="25" ht="55.5" customHeight="1" s="96">
      <c r="A25" s="136" t="n">
        <v>21</v>
      </c>
      <c r="B25" s="136" t="n">
        <v>5</v>
      </c>
      <c r="C25" s="136" t="inlineStr">
        <is>
          <t>5.2</t>
        </is>
      </c>
      <c r="D25" s="137" t="inlineStr">
        <is>
          <t>UX Flow (Upload → Evaluate → Revise)</t>
        </is>
      </c>
      <c r="E25" s="137" t="n"/>
      <c r="F25" s="150" t="inlineStr">
        <is>
          <t>Planned</t>
        </is>
      </c>
      <c r="G25" s="149" t="inlineStr">
        <is>
          <t>P1</t>
        </is>
      </c>
      <c r="H25" s="140" t="inlineStr">
        <is>
          <t>Usable product: the end-to-end user journey that ties everything together. Without this, RevisionGrade is a backend, not a product.</t>
        </is>
      </c>
      <c r="I25" s="140" t="inlineStr">
        <is>
          <t>Next.js flow: upload → evaluate → view report → enter revision → accept/reject → export. Responsive, accessible, clear progress indicators.</t>
        </is>
      </c>
      <c r="J25" s="137" t="inlineStr">
        <is>
          <t>Next.js frontend</t>
        </is>
      </c>
      <c r="K25" s="136" t="inlineStr">
        <is>
          <t>Mike</t>
        </is>
      </c>
      <c r="L25" s="136" t="inlineStr">
        <is>
          <t>12-20</t>
        </is>
      </c>
      <c r="M25" s="137" t="inlineStr">
        <is>
          <t>3.3 + 2.6</t>
        </is>
      </c>
      <c r="N25" s="140" t="inlineStr">
        <is>
          <t>End-to-end user flow works. Writer can go from upload to revised document without leaving the app.</t>
        </is>
      </c>
      <c r="O25" s="140" t="n"/>
      <c r="P25" s="140" t="inlineStr">
        <is>
          <t>No</t>
        </is>
      </c>
      <c r="Q25" s="140" t="n"/>
      <c r="R25" s="141" t="inlineStr">
        <is>
          <t>Vol III Tools (§III.T9 UI components), Vol III Ops (§III.O4 7-stage pipeline UX)</t>
        </is>
      </c>
    </row>
    <row r="26" ht="55.5" customHeight="1" s="96">
      <c r="A26" s="142" t="n">
        <v>22</v>
      </c>
      <c r="B26" s="142" t="n">
        <v>5</v>
      </c>
      <c r="C26" s="142" t="inlineStr">
        <is>
          <t>5.3</t>
        </is>
      </c>
      <c r="D26" s="143" t="inlineStr">
        <is>
          <t>Author Work Dashboard</t>
        </is>
      </c>
      <c r="E26" s="143" t="n"/>
      <c r="F26" s="150" t="inlineStr">
        <is>
          <t>Planned</t>
        </is>
      </c>
      <c r="G26" s="152" t="inlineStr">
        <is>
          <t>P2</t>
        </is>
      </c>
      <c r="H26" s="145" t="inlineStr">
        <is>
          <t>Makes the system feel like infrastructure, not a one-off tool. Shows all works with status, scores, history. Supports ATI later.</t>
        </is>
      </c>
      <c r="I26" s="145" t="inlineStr">
        <is>
          <t>Use evaluation_jobs + artifacts to build canonical 'work timeline.' Filters by form, status, score band. Reopen capability.</t>
        </is>
      </c>
      <c r="J26" s="143" t="inlineStr">
        <is>
          <t>Frontend / DB</t>
        </is>
      </c>
      <c r="K26" s="142" t="inlineStr">
        <is>
          <t>Mike</t>
        </is>
      </c>
      <c r="L26" s="142" t="inlineStr">
        <is>
          <t>10-14</t>
        </is>
      </c>
      <c r="M26" s="143" t="inlineStr">
        <is>
          <t>5.2</t>
        </is>
      </c>
      <c r="N26" s="145" t="inlineStr">
        <is>
          <t>All works listed with status, scores, last opened, history. Filter and reopen working.</t>
        </is>
      </c>
      <c r="O26" s="145" t="n"/>
      <c r="P26" s="145" t="inlineStr">
        <is>
          <t>No</t>
        </is>
      </c>
      <c r="Q26" s="145" t="n"/>
      <c r="R26" s="141" t="inlineStr">
        <is>
          <t>Vol III Tools (§III.T9 author dashboard), Vol III Ops (§evaluation lifecycle display)</t>
        </is>
      </c>
    </row>
    <row r="27" ht="55.5" customHeight="1" s="96">
      <c r="A27" s="136" t="n">
        <v>23</v>
      </c>
      <c r="B27" s="136" t="n">
        <v>5</v>
      </c>
      <c r="C27" s="136" t="inlineStr">
        <is>
          <t>5.4</t>
        </is>
      </c>
      <c r="D27" s="137" t="inlineStr">
        <is>
          <t>Writing-Improvement Analytics (ATI Foundation)</t>
        </is>
      </c>
      <c r="E27" s="137" t="n"/>
      <c r="F27" s="153" t="inlineStr">
        <is>
          <t>Future</t>
        </is>
      </c>
      <c r="G27" s="136" t="inlineStr">
        <is>
          <t>P3</t>
        </is>
      </c>
      <c r="H27" s="140" t="inlineStr">
        <is>
          <t>First visible step toward Author Trajectory Intelligence. Trendlines of problem areas and strengths over time per author.</t>
        </is>
      </c>
      <c r="I27" s="140" t="inlineStr">
        <is>
          <t>Compute and persist deltas between evaluations. Visualize per-criterion improvement/regression. Requires multiple evaluations per author.</t>
        </is>
      </c>
      <c r="J27" s="137" t="inlineStr">
        <is>
          <t>Analytics / DB</t>
        </is>
      </c>
      <c r="K27" s="136" t="inlineStr">
        <is>
          <t>Mike</t>
        </is>
      </c>
      <c r="L27" s="136" t="inlineStr">
        <is>
          <t>10-14</t>
        </is>
      </c>
      <c r="M27" s="137" t="inlineStr">
        <is>
          <t>5.3</t>
        </is>
      </c>
      <c r="N27" s="140" t="inlineStr">
        <is>
          <t>Trendlines display per-criterion. Deltas computed and persisted.</t>
        </is>
      </c>
      <c r="O27" s="140" t="n"/>
      <c r="P27" s="140" t="inlineStr">
        <is>
          <t>No</t>
        </is>
      </c>
      <c r="Q27" s="140" t="n"/>
      <c r="R27" s="141" t="inlineStr">
        <is>
          <t>Vol II-A (§score history, criterion deltas), Vol V (§trajectory signals)</t>
        </is>
      </c>
    </row>
    <row r="28" ht="55.5" customHeight="1" s="96">
      <c r="A28" s="142" t="n">
        <v>24</v>
      </c>
      <c r="B28" s="142" t="n">
        <v>5</v>
      </c>
      <c r="C28" s="142" t="inlineStr">
        <is>
          <t>5.5</t>
        </is>
      </c>
      <c r="D28" s="143" t="inlineStr">
        <is>
          <t>Trajectory Engine (Score History)</t>
        </is>
      </c>
      <c r="E28" s="143" t="n"/>
      <c r="F28" s="153" t="inlineStr">
        <is>
          <t>Future</t>
        </is>
      </c>
      <c r="G28" s="142" t="inlineStr">
        <is>
          <t>P3</t>
        </is>
      </c>
      <c r="H28" s="145" t="inlineStr">
        <is>
          <t>Track improvement over time. Historical scoring enables the 'signal' that makes StoryGate valuable to agents.</t>
        </is>
      </c>
      <c r="I28" s="145" t="inlineStr">
        <is>
          <t>Score history DB. Delta computation. Trend visualization. Feeds into Signal Engine.</t>
        </is>
      </c>
      <c r="J28" s="143" t="inlineStr">
        <is>
          <t>DB + logic</t>
        </is>
      </c>
      <c r="K28" s="142" t="inlineStr">
        <is>
          <t>Mike</t>
        </is>
      </c>
      <c r="L28" s="142" t="inlineStr">
        <is>
          <t>10-14</t>
        </is>
      </c>
      <c r="M28" s="143" t="inlineStr">
        <is>
          <t>5.4</t>
        </is>
      </c>
      <c r="N28" s="145" t="inlineStr">
        <is>
          <t>Historical tracking accurate. Trends queryable.</t>
        </is>
      </c>
      <c r="O28" s="145" t="n"/>
      <c r="P28" s="145" t="inlineStr">
        <is>
          <t>No</t>
        </is>
      </c>
      <c r="Q28" s="145" t="n"/>
      <c r="R28" s="141" t="inlineStr">
        <is>
          <t>Vol V (§trajectory signal computation), Vol II-A (§WCS trending)</t>
        </is>
      </c>
    </row>
    <row r="29" ht="55.5" customHeight="1" s="96">
      <c r="A29" s="136" t="n">
        <v>25</v>
      </c>
      <c r="B29" s="136" t="n">
        <v>5</v>
      </c>
      <c r="C29" s="136" t="inlineStr">
        <is>
          <t>5.6</t>
        </is>
      </c>
      <c r="D29" s="137" t="inlineStr">
        <is>
          <t>Agent Report Export</t>
        </is>
      </c>
      <c r="E29" s="137" t="n"/>
      <c r="F29" s="153" t="inlineStr">
        <is>
          <t>Future</t>
        </is>
      </c>
      <c r="G29" s="136" t="inlineStr">
        <is>
          <t>P3</t>
        </is>
      </c>
      <c r="H29" s="140" t="inlineStr">
        <is>
          <t>Market output: agents and publishers expect PDF/DOCX deliverables, not just web views.</t>
        </is>
      </c>
      <c r="I29" s="140" t="inlineStr">
        <is>
          <t>PDF/Doc generation from persisted evaluation + revision artifacts. Consistent formatting. Branded templates.</t>
        </is>
      </c>
      <c r="J29" s="137" t="inlineStr">
        <is>
          <t>Export service</t>
        </is>
      </c>
      <c r="K29" s="136" t="inlineStr">
        <is>
          <t>Mike</t>
        </is>
      </c>
      <c r="L29" s="136" t="inlineStr">
        <is>
          <t>8-12</t>
        </is>
      </c>
      <c r="M29" s="137" t="inlineStr">
        <is>
          <t>5.2</t>
        </is>
      </c>
      <c r="N29" s="140" t="inlineStr">
        <is>
          <t>Reports consistent, branded, and usable in agent submissions.</t>
        </is>
      </c>
      <c r="O29" s="140" t="n"/>
      <c r="P29" s="140" t="inlineStr">
        <is>
          <t>No</t>
        </is>
      </c>
      <c r="Q29" s="140" t="n"/>
      <c r="R29" s="141" t="inlineStr">
        <is>
          <t>Vol V (§V.1 5 certified external artifacts, §V.10 non-repudiation), Vol III Ops (§III.O4 Stage 6-7 export)</t>
        </is>
      </c>
    </row>
    <row r="30" ht="55.5" customHeight="1" s="96">
      <c r="A30" s="142" t="n">
        <v>26</v>
      </c>
      <c r="B30" s="142" t="n">
        <v>5</v>
      </c>
      <c r="C30" s="142" t="inlineStr">
        <is>
          <t>5.7</t>
        </is>
      </c>
      <c r="D30" s="143" t="inlineStr">
        <is>
          <t>Signal Engine (Predictive Scoring)</t>
        </is>
      </c>
      <c r="E30" s="143" t="n"/>
      <c r="F30" s="153" t="inlineStr">
        <is>
          <t>Future</t>
        </is>
      </c>
      <c r="G30" s="142" t="inlineStr">
        <is>
          <t>P3</t>
        </is>
      </c>
      <c r="H30" s="145" t="inlineStr">
        <is>
          <t>Predict outcomes: given evaluation data + trajectory, estimate likelihood of agent interest, publication readiness, or film viability.</t>
        </is>
      </c>
      <c r="I30" s="145" t="inlineStr">
        <is>
          <t>Probability model built on evaluation criteria, trajectory deltas, and (eventually) marketplace engagement data.</t>
        </is>
      </c>
      <c r="J30" s="143" t="inlineStr">
        <is>
          <t>Scoring model</t>
        </is>
      </c>
      <c r="K30" s="142" t="inlineStr">
        <is>
          <t>Mike</t>
        </is>
      </c>
      <c r="L30" s="142" t="inlineStr">
        <is>
          <t>12-18</t>
        </is>
      </c>
      <c r="M30" s="143" t="inlineStr">
        <is>
          <t>5.5</t>
        </is>
      </c>
      <c r="N30" s="145" t="inlineStr">
        <is>
          <t>Prediction aligns with known outcomes in test corpus.</t>
        </is>
      </c>
      <c r="O30" s="145" t="n"/>
      <c r="P30" s="145" t="inlineStr">
        <is>
          <t>No</t>
        </is>
      </c>
      <c r="Q30" s="145" t="n"/>
      <c r="R30" s="141" t="inlineStr">
        <is>
          <t>Vol V (§Trifecta Model), Vol II-A (§agent-ready threshold 8.5, §market trigger 6.0)</t>
        </is>
      </c>
    </row>
    <row r="31" ht="55.5" customHeight="1" s="96">
      <c r="A31" s="136" t="n">
        <v>27</v>
      </c>
      <c r="B31" s="136" t="n">
        <v>5</v>
      </c>
      <c r="C31" s="136" t="inlineStr">
        <is>
          <t>5.8</t>
        </is>
      </c>
      <c r="D31" s="137" t="inlineStr">
        <is>
          <t>StoryGate Studio Marketplace</t>
        </is>
      </c>
      <c r="E31" s="137" t="n"/>
      <c r="F31" s="153" t="inlineStr">
        <is>
          <t>Future</t>
        </is>
      </c>
      <c r="G31" s="136" t="inlineStr">
        <is>
          <t>P3</t>
        </is>
      </c>
      <c r="H31" s="140" t="inlineStr">
        <is>
          <t>Public landing where works scoring ≥8 post automatically as 'black premium marketing' tied to author profiles. Solves slush by ensuring agents only see vetted material.</t>
        </is>
      </c>
      <c r="I31" s="140" t="inlineStr">
        <is>
          <t>Gating rule on evaluation results. Publish metadata (title, genre, logline, score band) — not full manuscripts. Author profiles linked.</t>
        </is>
      </c>
      <c r="J31" s="137" t="inlineStr">
        <is>
          <t>Web app / Public</t>
        </is>
      </c>
      <c r="K31" s="136" t="inlineStr">
        <is>
          <t>Mike + Future team</t>
        </is>
      </c>
      <c r="L31" s="136" t="inlineStr">
        <is>
          <t>20-30</t>
        </is>
      </c>
      <c r="M31" s="137" t="inlineStr">
        <is>
          <t>5.5 + 5.6</t>
        </is>
      </c>
      <c r="N31" s="140" t="inlineStr">
        <is>
          <t>Qualifying works auto-posted. Metadata-only exposure. Author profiles functional.</t>
        </is>
      </c>
      <c r="O31" s="140" t="n"/>
      <c r="P31" s="140" t="inlineStr">
        <is>
          <t>No</t>
        </is>
      </c>
      <c r="Q31" s="140" t="inlineStr">
        <is>
          <t>Gate 8+ concept.</t>
        </is>
      </c>
      <c r="R31" s="141" t="inlineStr">
        <is>
          <t>Vol V (§V.10 Trusted Path certification), Vol III Governance (§visibility states)</t>
        </is>
      </c>
    </row>
    <row r="32" ht="55.5" customHeight="1" s="96">
      <c r="A32" s="142" t="n">
        <v>28</v>
      </c>
      <c r="B32" s="142" t="n">
        <v>5</v>
      </c>
      <c r="C32" s="142" t="inlineStr">
        <is>
          <t>5.9</t>
        </is>
      </c>
      <c r="D32" s="143" t="inlineStr">
        <is>
          <t>Agent Portal &amp; Connection Economics</t>
        </is>
      </c>
      <c r="E32" s="143" t="n"/>
      <c r="F32" s="153" t="inlineStr">
        <is>
          <t>Future</t>
        </is>
      </c>
      <c r="G32" s="142" t="inlineStr">
        <is>
          <t>P3</t>
        </is>
      </c>
      <c r="H32" s="145" t="inlineStr">
        <is>
          <t>Second side of the marketplace and core revenue stream. Agents browse StoryGate by genre, score band, form, history. Brokered introductions generate revenue.</t>
        </is>
      </c>
      <c r="I32" s="145" t="inlineStr">
        <is>
          <t>Role-based access. Visibility states (private / agent-beta / public). Track views, saves, introductions as first-class events. Agent application and approval flow.</t>
        </is>
      </c>
      <c r="J32" s="143" t="inlineStr">
        <is>
          <t>Web app / Admin</t>
        </is>
      </c>
      <c r="K32" s="142" t="inlineStr">
        <is>
          <t>Mike + Future team</t>
        </is>
      </c>
      <c r="L32" s="142" t="inlineStr">
        <is>
          <t>20-30</t>
        </is>
      </c>
      <c r="M32" s="143" t="inlineStr">
        <is>
          <t>5.8</t>
        </is>
      </c>
      <c r="N32" s="145" t="inlineStr">
        <is>
          <t>Agents can browse, filter, request introductions. Event tracking live.</t>
        </is>
      </c>
      <c r="O32" s="145" t="n"/>
      <c r="P32" s="145" t="inlineStr">
        <is>
          <t>No</t>
        </is>
      </c>
      <c r="Q32" s="145" t="n"/>
      <c r="R32" s="141" t="inlineStr">
        <is>
          <t>Vol V (§V.10 industry interface), Vol III Governance (§role-based access)</t>
        </is>
      </c>
    </row>
    <row r="33" ht="55.5" customHeight="1" s="96">
      <c r="A33" s="136" t="n">
        <v>29</v>
      </c>
      <c r="B33" s="136" t="n">
        <v>5</v>
      </c>
      <c r="C33" s="136" t="inlineStr">
        <is>
          <t>5.10</t>
        </is>
      </c>
      <c r="D33" s="137" t="inlineStr">
        <is>
          <t>Stripe Billing + Connection Fees</t>
        </is>
      </c>
      <c r="E33" s="137" t="n"/>
      <c r="F33" s="153" t="inlineStr">
        <is>
          <t>Future</t>
        </is>
      </c>
      <c r="G33" s="136" t="inlineStr">
        <is>
          <t>P3</t>
        </is>
      </c>
      <c r="H33" s="140" t="inlineStr">
        <is>
          <t>Revenue infrastructure: paid usage for RevisionGrade plus transaction fees for author-agent matches.</t>
        </is>
      </c>
      <c r="I33" s="140" t="inlineStr">
        <is>
          <t>Stripe integration: plans, metering, connection events, reconciliation. Separate project.</t>
        </is>
      </c>
      <c r="J33" s="137" t="inlineStr">
        <is>
          <t>Billing service</t>
        </is>
      </c>
      <c r="K33" s="136" t="inlineStr">
        <is>
          <t>Mike + Future team</t>
        </is>
      </c>
      <c r="L33" s="136" t="inlineStr">
        <is>
          <t>16-24</t>
        </is>
      </c>
      <c r="M33" s="137" t="inlineStr">
        <is>
          <t>5.9</t>
        </is>
      </c>
      <c r="N33" s="140" t="inlineStr">
        <is>
          <t>Billing functional. Connection fees tracked and reconciled.</t>
        </is>
      </c>
      <c r="O33" s="140" t="n"/>
      <c r="P33" s="140" t="inlineStr">
        <is>
          <t>No</t>
        </is>
      </c>
      <c r="Q33" s="140" t="inlineStr">
        <is>
          <t>Not yet initiated.</t>
        </is>
      </c>
      <c r="R33" s="141" t="inlineStr">
        <is>
          <t>Vol V (§connection economics), Vol III Ops (§transaction tracking)</t>
        </is>
      </c>
    </row>
    <row r="34" ht="55.5" customHeight="1" s="96">
      <c r="A34" s="142" t="n">
        <v>30</v>
      </c>
      <c r="B34" s="142" t="n">
        <v>5</v>
      </c>
      <c r="C34" s="142" t="inlineStr">
        <is>
          <t>5.11</t>
        </is>
      </c>
      <c r="D34" s="143" t="inlineStr">
        <is>
          <t>Observability, SLAs &amp; Dead-Letter</t>
        </is>
      </c>
      <c r="E34" s="143" t="n"/>
      <c r="F34" s="153" t="inlineStr">
        <is>
          <t>Future</t>
        </is>
      </c>
      <c r="G34" s="142" t="inlineStr">
        <is>
          <t>P3</t>
        </is>
      </c>
      <c r="H34" s="145" t="inlineStr">
        <is>
          <t>System-health dashboards, job state queries, SLA alerting, dead-letter queues. Required for production reliability at scale.</t>
        </is>
      </c>
      <c r="I34" s="145" t="inlineStr">
        <is>
          <t>Implement Phase C D1-D5: failure envelope, structured logs, observability queries, dead-letter, health dashboard.</t>
        </is>
      </c>
      <c r="J34" s="143" t="inlineStr">
        <is>
          <t>Infrastructure</t>
        </is>
      </c>
      <c r="K34" s="142" t="inlineStr">
        <is>
          <t>Mike</t>
        </is>
      </c>
      <c r="L34" s="142" t="inlineStr">
        <is>
          <t>12-16</t>
        </is>
      </c>
      <c r="M34" s="143" t="inlineStr">
        <is>
          <t>5.1</t>
        </is>
      </c>
      <c r="N34" s="145" t="inlineStr">
        <is>
          <t>All health metrics live. Dead-letter queue functional. SLA alerting active.</t>
        </is>
      </c>
      <c r="O34" s="145" t="n"/>
      <c r="P34" s="145" t="inlineStr">
        <is>
          <t>No</t>
        </is>
      </c>
      <c r="Q34" s="145" t="inlineStr">
        <is>
          <t>Reliability Phase C artifacts.</t>
        </is>
      </c>
      <c r="R34" s="141" t="inlineStr">
        <is>
          <t>Vol V (§V.11 full reliability model: dead-letter, retry, degraded mode, incident), Vol III Ops (§III.O6, §III.O8)</t>
        </is>
      </c>
    </row>
    <row r="35" ht="55.5" customHeight="1" s="96">
      <c r="A35" s="136" t="n">
        <v>31</v>
      </c>
      <c r="B35" s="136" t="n">
        <v>5</v>
      </c>
      <c r="C35" s="136" t="inlineStr">
        <is>
          <t>5.12</t>
        </is>
      </c>
      <c r="D35" s="137" t="inlineStr">
        <is>
          <t>QA Corpus (300 Varied Samples)</t>
        </is>
      </c>
      <c r="E35" s="137" t="n"/>
      <c r="F35" s="153" t="inlineStr">
        <is>
          <t>Future</t>
        </is>
      </c>
      <c r="G35" s="136" t="inlineStr">
        <is>
          <t>P3</t>
        </is>
      </c>
      <c r="H35" s="140" t="inlineStr">
        <is>
          <t>De-risks bias, inconsistency, and failure modes before scale. Validates scoring + suggestions across forms, genres, and difficulty.</t>
        </is>
      </c>
      <c r="I35" s="140" t="inlineStr">
        <is>
          <t>Build harness that runs full evaluation + revision loop on 300-sample corpus. Check for regressions. Automated CI integration.</t>
        </is>
      </c>
      <c r="J35" s="137" t="inlineStr">
        <is>
          <t>Test infrastructure</t>
        </is>
      </c>
      <c r="K35" s="136" t="inlineStr">
        <is>
          <t>Mike</t>
        </is>
      </c>
      <c r="L35" s="136" t="inlineStr">
        <is>
          <t>16-24</t>
        </is>
      </c>
      <c r="M35" s="137" t="inlineStr">
        <is>
          <t>3.3 + 2.8</t>
        </is>
      </c>
      <c r="N35" s="140" t="inlineStr">
        <is>
          <t>Full corpus evaluated without regressions. Bias and consistency metrics within thresholds.</t>
        </is>
      </c>
      <c r="O35" s="140" t="n"/>
      <c r="P35" s="140" t="inlineStr">
        <is>
          <t>No</t>
        </is>
      </c>
      <c r="Q35" s="140" t="n"/>
      <c r="R35" s="141" t="inlineStr">
        <is>
          <t>Vol II (13 criteria × genres × difficulty), Canon III Lesson I:5 (adversarial testing requirement)</t>
        </is>
      </c>
    </row>
    <row r="36" ht="55.5" customHeight="1" s="96">
      <c r="A36" s="154" t="n">
        <v>32</v>
      </c>
      <c r="B36" s="154" t="n">
        <v>2</v>
      </c>
      <c r="C36" s="154" t="inlineStr">
        <is>
          <t>2.9</t>
        </is>
      </c>
      <c r="D36" s="155" t="inlineStr">
        <is>
          <t>Canon Gate (Pass 1.5) Schema Validator</t>
        </is>
      </c>
      <c r="E36" s="156" t="n"/>
      <c r="F36" s="157" t="inlineStr">
        <is>
          <t>Planned</t>
        </is>
      </c>
      <c r="G36" s="158" t="inlineStr">
        <is>
          <t>P1</t>
        </is>
      </c>
      <c r="H36" s="145" t="inlineStr">
        <is>
          <t>Vol III mandates: Canon Gate must execute before results surface to users — always. Pass 1.5 validates evaluation output against canonical schema before persistence. Without this, malformed evaluations can poison the artifact store.</t>
        </is>
      </c>
      <c r="I36" s="145" t="inlineStr">
        <is>
          <t>Build schema validator that checks EvaluationResultV1 output against canonical schema. Hard fail on: missing criteria, out-of-range scores, missing evidence. Soft fail on: short recommendations (&lt;50 chars), low confidence (&lt;0.5). Max 3 retries, 60s timeout.</t>
        </is>
      </c>
      <c r="J36" s="142" t="inlineStr">
        <is>
          <t>lib/validation/canonGate.ts</t>
        </is>
      </c>
      <c r="K36" s="154" t="inlineStr">
        <is>
          <t>Mike + Copilot</t>
        </is>
      </c>
      <c r="L36" s="154" t="inlineStr">
        <is>
          <t>6-8</t>
        </is>
      </c>
      <c r="M36" s="154" t="inlineStr">
        <is>
          <t>2.7</t>
        </is>
      </c>
      <c r="N36" s="145" t="inlineStr">
        <is>
          <t>100% of evaluations pass through Canon Gate before persistence. 0 malformed evaluations in artifact store. Hard/soft fail classification correct.</t>
        </is>
      </c>
      <c r="O36" s="145" t="inlineStr">
        <is>
          <t>Feed 20 valid and 20 malformed evaluations. All valid pass, all malformed rejected with correct fail type.</t>
        </is>
      </c>
      <c r="P36" s="154" t="inlineStr">
        <is>
          <t>Yes</t>
        </is>
      </c>
      <c r="Q36" s="145" t="inlineStr">
        <is>
          <t>Non-negotiable governance requirement. Pass 1.5 sits between evaluation and persistence.</t>
        </is>
      </c>
      <c r="R36" s="141" t="inlineStr">
        <is>
          <t>Vol III Tools (§III.T6 Canon Gate), Vol III Ops (§Canon Gate hard fail retries: 3, timeout: 60s)</t>
        </is>
      </c>
    </row>
    <row r="37" ht="55.5" customHeight="1" s="96">
      <c r="A37" s="159" t="n">
        <v>33</v>
      </c>
      <c r="B37" s="159" t="n">
        <v>2</v>
      </c>
      <c r="C37" s="159" t="inlineStr">
        <is>
          <t>2.10</t>
        </is>
      </c>
      <c r="D37" s="160" t="inlineStr">
        <is>
          <t>Two-AI Pipeline Contract (Independence Guarantee)</t>
        </is>
      </c>
      <c r="E37" s="161" t="n"/>
      <c r="F37" s="157" t="inlineStr">
        <is>
          <t>Planned</t>
        </is>
      </c>
      <c r="G37" s="162" t="inlineStr">
        <is>
          <t>P1</t>
        </is>
      </c>
      <c r="H37" s="140" t="inlineStr">
        <is>
          <t>Vol II-A and Vol IV mandate a minimum two-AI evaluation pipeline. Pass 2 must NEVER receive Pass 1 outputs — independence is absolute. Single-pass evaluation cannot distinguish 'confident agreement' from 'confident but wrong.'</t>
        </is>
      </c>
      <c r="I37" s="140" t="inlineStr">
        <is>
          <t>Implement System 1 (generate) → System 2 (audit) pipeline. Pass 2 receives only the original manuscript + criteria, never Pass 1 results. Log divergence to audit envelope. Convergence logic: majority_vote / weighted_merge / consensus / authority_override.</t>
        </is>
      </c>
      <c r="J37" s="136" t="inlineStr">
        <is>
          <t>lib/evaluation/pipeline/</t>
        </is>
      </c>
      <c r="K37" s="159" t="inlineStr">
        <is>
          <t>Mike + Copilot</t>
        </is>
      </c>
      <c r="L37" s="159" t="inlineStr">
        <is>
          <t>12-16</t>
        </is>
      </c>
      <c r="M37" s="159" t="inlineStr">
        <is>
          <t>2.7 + 2.9</t>
        </is>
      </c>
      <c r="N37" s="140" t="inlineStr">
        <is>
          <t>Pass 2 provably independent (no data path from Pass 1 output to Pass 2 input). Divergence logged. Convergence method selected and justified per evaluation.</t>
        </is>
      </c>
      <c r="O37" s="140" t="inlineStr">
        <is>
          <t>Inject known divergent evaluations. Verify: divergence logged, convergence method applied correctly, no Pass 1 leakage into Pass 2 context.</t>
        </is>
      </c>
      <c r="P37" s="159" t="inlineStr">
        <is>
          <t>Yes</t>
        </is>
      </c>
      <c r="Q37" s="140" t="inlineStr">
        <is>
          <t>Minor disagreement: ±10 points (auto-resolve). Major disagreement: ±20 points (human review trigger). Vol IV §IV.G4.3.</t>
        </is>
      </c>
      <c r="R37" s="163" t="inlineStr">
        <is>
          <t>Vol II-A (§two-AI contract), Vol III Tools (§III.T4, §III.T5 PASS1/PASS2/PASS3), Vol IV (§multi-AI consensus, ±5 agreement threshold)</t>
        </is>
      </c>
    </row>
    <row r="38" ht="55.5" customHeight="1" s="96">
      <c r="A38" s="154" t="n">
        <v>34</v>
      </c>
      <c r="B38" s="154" t="n">
        <v>2</v>
      </c>
      <c r="C38" s="154" t="inlineStr">
        <is>
          <t>2.11</t>
        </is>
      </c>
      <c r="D38" s="155" t="inlineStr">
        <is>
          <t>Provider-Agnostic Adapter Layer</t>
        </is>
      </c>
      <c r="E38" s="156" t="n"/>
      <c r="F38" s="157" t="inlineStr">
        <is>
          <t>Planned</t>
        </is>
      </c>
      <c r="G38" s="164" t="inlineStr">
        <is>
          <t>P2</t>
        </is>
      </c>
      <c r="H38" s="145" t="inlineStr">
        <is>
          <t>Vol III Tools mandates: core logic must NEVER call provider APIs directly — adapters only. This is a non-negotiable architecture rule that enables provider switching, testing, and degraded-mode operation.</t>
        </is>
      </c>
      <c r="I38" s="145" t="inlineStr">
        <is>
          <t>Implement ModelAdapter TypeScript interface. Build OpenAI adapter + Anthropic adapter. All evaluation pipeline calls go through adapter layer. Prompts loaded at runtime from files (aep-pass1.txt, aep-pass2.txt, aep-pass3.txt), never hardcoded.</t>
        </is>
      </c>
      <c r="J38" s="142" t="inlineStr">
        <is>
          <t>lib/adapters/</t>
        </is>
      </c>
      <c r="K38" s="154" t="inlineStr">
        <is>
          <t>Mike + Copilot</t>
        </is>
      </c>
      <c r="L38" s="154" t="inlineStr">
        <is>
          <t>8-10</t>
        </is>
      </c>
      <c r="M38" s="154" t="inlineStr">
        <is>
          <t>2.10</t>
        </is>
      </c>
      <c r="N38" s="145" t="inlineStr">
        <is>
          <t>0 direct provider API calls in evaluation pipeline. All calls through adapter. Prompts loaded from filesystem at runtime. Provider can be swapped by config change.</t>
        </is>
      </c>
      <c r="O38" s="145" t="inlineStr">
        <is>
          <t>grep codebase for direct OpenAI/Anthropic imports in evaluation logic — must be 0. Swap adapter config, verify evaluation still runs.</t>
        </is>
      </c>
      <c r="P38" s="154" t="inlineStr">
        <is>
          <t>No</t>
        </is>
      </c>
      <c r="Q38" s="145" t="inlineStr">
        <is>
          <t>Temperature settings per canon: PASS1/PASS2 = 0.3, PASS3 = 0.2. Max tokens: PASS1/PASS2 = 4000, PASS3 = 5000.</t>
        </is>
      </c>
      <c r="R38" s="141" t="inlineStr">
        <is>
          <t>Vol III Tools (§III.T7 ModelAdapter interface, §III.T11 adapters), Vol V (§V.6 degraded mode)</t>
        </is>
      </c>
    </row>
    <row r="39" ht="55.5" customHeight="1" s="96">
      <c r="A39" s="159" t="n">
        <v>35</v>
      </c>
      <c r="B39" s="159" t="n">
        <v>3</v>
      </c>
      <c r="C39" s="159" t="inlineStr">
        <is>
          <t>3.6</t>
        </is>
      </c>
      <c r="D39" s="160" t="inlineStr">
        <is>
          <t>WAVE Enforcement Modules</t>
        </is>
      </c>
      <c r="E39" s="161" t="n"/>
      <c r="F39" s="157" t="inlineStr">
        <is>
          <t>Planned</t>
        </is>
      </c>
      <c r="G39" s="165" t="inlineStr">
        <is>
          <t>P2</t>
        </is>
      </c>
      <c r="H39" s="140" t="inlineStr">
        <is>
          <t>Vol III Governance and Vol IV require 4 WAVE enforcement modules that gate revision quality. Structural failure must block cosmetic polish tools — no exceptions in Trusted Path.</t>
        </is>
      </c>
      <c r="I39" s="140" t="inlineStr">
        <is>
          <t>Build 4 modules: (1) Structural integrity gate, (2) Criterion-to-WAVE routing (Vol II-A mapping), (3) Tsunami sequencing enforcer (Structural Truth → Reader Momentum → Literary Authority), (4) Velocity Bundle eligibility checker (all criteria ≥7.0).</t>
        </is>
      </c>
      <c r="J39" s="136" t="inlineStr">
        <is>
          <t>lib/wave/enforcement/</t>
        </is>
      </c>
      <c r="K39" s="159" t="inlineStr">
        <is>
          <t>Mike + Copilot</t>
        </is>
      </c>
      <c r="L39" s="159" t="inlineStr">
        <is>
          <t>10-14</t>
        </is>
      </c>
      <c r="M39" s="159" t="inlineStr">
        <is>
          <t>3.3</t>
        </is>
      </c>
      <c r="N39" s="140" t="inlineStr">
        <is>
          <t>Structural criterion &lt;5 blocks WAVE entry. Waves execute in correct tsunami order. Velocity Bundle only available when all criteria ≥7.0.</t>
        </is>
      </c>
      <c r="O39" s="140" t="inlineStr">
        <is>
          <t>Submit manuscript with structural criterion at 4 — WAVE blocked. Submit with all criteria ≥7.0 — Velocity Bundle available. Submit with mixed scores — correct routing only.</t>
        </is>
      </c>
      <c r="P39" s="159" t="inlineStr">
        <is>
          <t>No</t>
        </is>
      </c>
      <c r="Q39" s="140" t="inlineStr">
        <is>
          <t>62 waves across 3 tsunamis. 10 binding execution rules from Vol I.</t>
        </is>
      </c>
      <c r="R39" s="163" t="inlineStr">
        <is>
          <t>Vol III Governance (§4 WAVE enforcement), Vol IV (§IV.G3 canon protection), Vol I (62 waves, 3 tsunamis, Velocity Bundle rules)</t>
        </is>
      </c>
    </row>
    <row r="40" ht="55.5" customHeight="1" s="96">
      <c r="A40" s="154" t="n">
        <v>36</v>
      </c>
      <c r="B40" s="154" t="n">
        <v>3</v>
      </c>
      <c r="C40" s="154" t="inlineStr">
        <is>
          <t>3.7</t>
        </is>
      </c>
      <c r="D40" s="155" t="inlineStr">
        <is>
          <t>Eligibility Gate System</t>
        </is>
      </c>
      <c r="E40" s="156" t="n"/>
      <c r="F40" s="157" t="inlineStr">
        <is>
          <t>Planned</t>
        </is>
      </c>
      <c r="G40" s="158" t="inlineStr">
        <is>
          <t>P1</t>
        </is>
      </c>
      <c r="H40" s="145" t="inlineStr">
        <is>
          <t>Vol II-A defines hard eligibility gates that determine what the system offers a writer. These aren't soft suggestions — they're structural blocks. WCS &lt;7.0 means no WAVE. Structural criterion &lt;5 means hard block. Agent-ready requires ≥8.5.</t>
        </is>
      </c>
      <c r="I40" s="145" t="inlineStr">
        <is>
          <t>Implement gate logic: FOUNDATIONAL (&lt;60) → DEVELOPING (60-64) → REFINEMENT_ELIGIBLE (65-79) → AGENT_READY (≥80). Hard block on WAVE when any structural criterion &lt;5 OR WCS &lt;7.0. Map gates to UI states and available features.</t>
        </is>
      </c>
      <c r="J40" s="142" t="inlineStr">
        <is>
          <t>lib/evaluation/gates/</t>
        </is>
      </c>
      <c r="K40" s="154" t="inlineStr">
        <is>
          <t>Mike + Copilot</t>
        </is>
      </c>
      <c r="L40" s="154" t="inlineStr">
        <is>
          <t>6-8</t>
        </is>
      </c>
      <c r="M40" s="154" t="inlineStr">
        <is>
          <t>2.6 + 2.9</t>
        </is>
      </c>
      <c r="N40" s="145" t="inlineStr">
        <is>
          <t>All 4 readiness states correctly assigned. Hard blocks enforced. No WAVE access below threshold. Agent-ready threshold at ≥8.5 (mapped to ≥80 on 100-point scale).</t>
        </is>
      </c>
      <c r="O40" s="145" t="inlineStr">
        <is>
          <t>Submit manuscripts at each threshold boundary (49/50, 59/60, 64/65, 79/80, 84/85). Verify correct state assignment and feature gating at each.</t>
        </is>
      </c>
      <c r="P40" s="154" t="inlineStr">
        <is>
          <t>Yes</t>
        </is>
      </c>
      <c r="Q40" s="145" t="inlineStr">
        <is>
          <t>Score scale: 1-10 integer (half-points disallowed per Vol II-A). WCS weights defined in Vol II-A criterion registry.</t>
        </is>
      </c>
      <c r="R40" s="141" t="inlineStr">
        <is>
          <t>Vol II-A (§eligibility gates: WCS 7.0, structural 5, agent-ready 8.5, market trigger 6.0), Vol III Ops (§thresholds 50/60/65/80)</t>
        </is>
      </c>
    </row>
    <row r="41" ht="55.5" customHeight="1" s="96">
      <c r="A41" s="159" t="n">
        <v>37</v>
      </c>
      <c r="B41" s="159" t="n">
        <v>4</v>
      </c>
      <c r="C41" s="159" t="inlineStr">
        <is>
          <t>4.5</t>
        </is>
      </c>
      <c r="D41" s="160" t="inlineStr">
        <is>
          <t>Trusted Path Certification</t>
        </is>
      </c>
      <c r="E41" s="161" t="n"/>
      <c r="F41" s="166" t="inlineStr">
        <is>
          <t>Future</t>
        </is>
      </c>
      <c r="G41" s="167" t="inlineStr">
        <is>
          <t>P3</t>
        </is>
      </c>
      <c r="H41" s="140" t="inlineStr">
        <is>
          <t>Vol V defines Trusted Path as the only route to certified artifacts. Studio Mode outputs are explicitly non-equivalent — they cannot be certified without re-execution through the full pipeline. This is the quality stamp that makes StoryGate credible.</t>
        </is>
      </c>
      <c r="I41" s="140" t="inlineStr">
        <is>
          <t>Implement Trusted Path flag on evaluation jobs. Only Trusted Path evaluations produce certified artifacts. Certification bundle includes: hash chain, evaluation provenance, audit trail, convergence proof. Atomic certification boundary — partial certification prohibited.</t>
        </is>
      </c>
      <c r="J41" s="136" t="inlineStr">
        <is>
          <t>lib/certification/</t>
        </is>
      </c>
      <c r="K41" s="159" t="inlineStr">
        <is>
          <t>Mike</t>
        </is>
      </c>
      <c r="L41" s="159" t="inlineStr">
        <is>
          <t>10-14</t>
        </is>
      </c>
      <c r="M41" s="159" t="inlineStr">
        <is>
          <t>2.10 + 3.3</t>
        </is>
      </c>
      <c r="N41" s="140" t="inlineStr">
        <is>
          <t>Certified artifacts traceable to Trusted Path execution. Studio Mode outputs clearly labeled non-certified. Certification bundle complete and verifiable.</t>
        </is>
      </c>
      <c r="O41" s="140" t="inlineStr">
        <is>
          <t>Run same manuscript through Trusted Path and Studio Mode. Verify: only Trusted Path produces certified artifact. Certification bundle passes verification.</t>
        </is>
      </c>
      <c r="P41" s="159" t="inlineStr">
        <is>
          <t>No</t>
        </is>
      </c>
      <c r="Q41" s="140" t="inlineStr">
        <is>
          <t>Non-repudiation: every certified artifact must be cryptographically traceable per Vol V §V.10.</t>
        </is>
      </c>
      <c r="R41" s="163" t="inlineStr">
        <is>
          <t>Vol V (§V.10 Trusted Path certification, atomic certification boundary), Vol III Tools (§III.T8 Trusted Path vs Studio Mode)</t>
        </is>
      </c>
    </row>
    <row r="42" ht="55.5" customHeight="1" s="96">
      <c r="A42" s="154" t="n">
        <v>38</v>
      </c>
      <c r="B42" s="154" t="n">
        <v>5</v>
      </c>
      <c r="C42" s="154" t="inlineStr">
        <is>
          <t>5.13</t>
        </is>
      </c>
      <c r="D42" s="155" t="inlineStr">
        <is>
          <t>Append-Only Audit Spine</t>
        </is>
      </c>
      <c r="E42" s="156" t="n"/>
      <c r="F42" s="157" t="inlineStr">
        <is>
          <t>Planned</t>
        </is>
      </c>
      <c r="G42" s="158" t="inlineStr">
        <is>
          <t>P1</t>
        </is>
      </c>
      <c r="H42" s="145" t="inlineStr">
        <is>
          <t>Vol III Ops and Vol V mandate append-only, hash-chained audit logging. No DELETE or UPDATE permitted on audit records. Audit preservation supersedes business logic in all conflict scenarios. 7-year minimum retention.</t>
        </is>
      </c>
      <c r="I42" s="145" t="inlineStr">
        <is>
          <t>Build audit_log table: append-only, hash-chained (each entry hashes the previous). No DELETE/UPDATE RLS policies. Every pipeline step writes an audit event. Retention policy: 7 years minimum.</t>
        </is>
      </c>
      <c r="J42" s="142" t="inlineStr">
        <is>
          <t>supabase/migrations/, lib/audit/</t>
        </is>
      </c>
      <c r="K42" s="154" t="inlineStr">
        <is>
          <t>Mike + Copilot</t>
        </is>
      </c>
      <c r="L42" s="154" t="inlineStr">
        <is>
          <t>8-10</t>
        </is>
      </c>
      <c r="M42" s="154" t="inlineStr">
        <is>
          <t>1.2</t>
        </is>
      </c>
      <c r="N42" s="145" t="inlineStr">
        <is>
          <t>Audit log append-only enforced at DB level. Hash chain verifiable. No gaps in pipeline audit trail. DELETE/UPDATE on audit tables returns error.</t>
        </is>
      </c>
      <c r="O42" s="145" t="inlineStr">
        <is>
          <t>Attempt UPDATE on audit row — rejected. Attempt DELETE — rejected. Run 100 evaluations, verify hash chain integrity. Verify every pipeline step has audit entry.</t>
        </is>
      </c>
      <c r="P42" s="154" t="inlineStr">
        <is>
          <t>Yes</t>
        </is>
      </c>
      <c r="Q42" s="145" t="inlineStr">
        <is>
          <t>7-year retention (Vol III Ops). 3-year minimum for evaluations. Archived state: 3-7 years (Vol IV).</t>
        </is>
      </c>
      <c r="R42" s="141" t="inlineStr">
        <is>
          <t>Vol III Ops (§III.O6 append-only audit), Vol V (§V.11 hash chain), Vol IV (§audit preservation supersedes business logic)</t>
        </is>
      </c>
    </row>
    <row r="43" ht="15" customHeight="1" s="96">
      <c r="A43" s="159" t="n">
        <v>39</v>
      </c>
      <c r="B43" s="159" t="n">
        <v>5</v>
      </c>
      <c r="C43" s="159" t="inlineStr">
        <is>
          <t>5.14</t>
        </is>
      </c>
      <c r="D43" s="160" t="inlineStr">
        <is>
          <t>Canon Protection Systems</t>
        </is>
      </c>
      <c r="E43" s="161" t="n"/>
      <c r="F43" s="166" t="inlineStr">
        <is>
          <t>Future</t>
        </is>
      </c>
      <c r="G43" s="165" t="inlineStr">
        <is>
          <t>P2</t>
        </is>
      </c>
      <c r="H43" s="140" t="inlineStr">
        <is>
          <t>Vol IV defines 7 canon protection systems with 4-level violation severity. Silent rule changes are prohibited — all canon modifications require formal ChangeProposal. This is the immune system that prevents the platform from drifting away from its own doctrine.</t>
        </is>
      </c>
      <c r="I43" s="140" t="inlineStr">
        <is>
          <t>Implement: (1) Canon version registry, (2) Change proposal workflow, (3) Violation detection (4 severity levels), (4) Canon drift alerting, (5) Formal change approval gate. All canon-referenced constants loaded from registry, never hardcoded.</t>
        </is>
      </c>
      <c r="J43" s="136" t="inlineStr">
        <is>
          <t>lib/governance/canon/</t>
        </is>
      </c>
      <c r="K43" s="159" t="inlineStr">
        <is>
          <t>Mike</t>
        </is>
      </c>
      <c r="L43" s="159" t="inlineStr">
        <is>
          <t>12-16</t>
        </is>
      </c>
      <c r="M43" s="159" t="inlineStr">
        <is>
          <t>5.13</t>
        </is>
      </c>
      <c r="N43" s="140" t="inlineStr">
        <is>
          <t>Canon constants loaded from registry. Any attempt to modify without ChangeProposal is blocked/logged. Violation severity correctly classified.</t>
        </is>
      </c>
      <c r="O43" s="140" t="inlineStr">
        <is>
          <t>Attempt to change a threshold without ChangeProposal — blocked. Submit formal ChangeProposal — approved and applied. Verify canon version incremented.</t>
        </is>
      </c>
      <c r="P43" s="159" t="inlineStr">
        <is>
          <t>No</t>
        </is>
      </c>
      <c r="Q43" s="140" t="inlineStr">
        <is>
          <t>4 severity levels per Vol IV: advisory, warning, violation, critical.</t>
        </is>
      </c>
      <c r="R43" s="163" t="inlineStr">
        <is>
          <t>Vol IV (§IV.G3 7 canon protection systems, 4 violation severity levels), Canon Doctrine Registry (77 doctrine units)</t>
        </is>
      </c>
    </row>
    <row r="44" ht="15" customHeight="1" s="96">
      <c r="A44" s="154" t="n">
        <v>40</v>
      </c>
      <c r="B44" s="154" t="n">
        <v>5</v>
      </c>
      <c r="C44" s="154" t="inlineStr">
        <is>
          <t>5.15</t>
        </is>
      </c>
      <c r="D44" s="155" t="inlineStr">
        <is>
          <t>Human Review Escalation Queue</t>
        </is>
      </c>
      <c r="E44" s="156" t="n"/>
      <c r="F44" s="166" t="inlineStr">
        <is>
          <t>Future</t>
        </is>
      </c>
      <c r="G44" s="164" t="inlineStr">
        <is>
          <t>P2</t>
        </is>
      </c>
      <c r="H44" s="145" t="inlineStr">
        <is>
          <t>Vol IV mandates human review when AI disagreement exceeds ±20 points. Vol III Tools requires a disputed-items log and human review escalation at &gt;20% dispute rate. This is the safety valve that maintains trust when AI consensus breaks down.</t>
        </is>
      </c>
      <c r="I44" s="145" t="inlineStr">
        <is>
          <t>Build human review queue: triggered by ±20 point AI disagreement or &gt;20% dispute rate. Queue shows: manuscript, both AI evaluations, divergence summary, recommended action. Human verdict is final and persisted to audit trail.</t>
        </is>
      </c>
      <c r="J44" s="142" t="inlineStr">
        <is>
          <t>Admin UI / lib/review/</t>
        </is>
      </c>
      <c r="K44" s="154" t="inlineStr">
        <is>
          <t>Mike</t>
        </is>
      </c>
      <c r="L44" s="154" t="inlineStr">
        <is>
          <t>8-12</t>
        </is>
      </c>
      <c r="M44" s="154" t="inlineStr">
        <is>
          <t>2.10 + 5.2</t>
        </is>
      </c>
      <c r="N44" s="145" t="inlineStr">
        <is>
          <t>High-divergence evaluations automatically queued. Human verdicts recorded and final. Dispute rate tracked per evaluation batch.</t>
        </is>
      </c>
      <c r="O44" s="145" t="inlineStr">
        <is>
          <t>Inject evaluation with 25-point divergence — auto-queued. Process in review queue — verdict persisted. Verify audit trail includes human review event.</t>
        </is>
      </c>
      <c r="P44" s="154" t="inlineStr">
        <is>
          <t>No</t>
        </is>
      </c>
      <c r="Q44" s="145" t="n"/>
      <c r="R44" s="141" t="inlineStr">
        <is>
          <t>Vol IV (§IV.G4.3 human review at ±20 points), Vol III Tools (§III.T9 disputed-items log, &gt;20% escalation), Vol III Governance (§minor ±10 / major ±20)</t>
        </is>
      </c>
    </row>
    <row r="45" ht="15" customHeight="1" s="96">
      <c r="A45" s="159" t="n">
        <v>41</v>
      </c>
      <c r="B45" s="159" t="n">
        <v>5</v>
      </c>
      <c r="C45" s="159" t="inlineStr">
        <is>
          <t>5.16</t>
        </is>
      </c>
      <c r="D45" s="160" t="inlineStr">
        <is>
          <t>Voice Spine &amp; Drift Detection</t>
        </is>
      </c>
      <c r="E45" s="161" t="n"/>
      <c r="F45" s="166" t="inlineStr">
        <is>
          <t>Future</t>
        </is>
      </c>
      <c r="G45" s="167" t="inlineStr">
        <is>
          <t>P3</t>
        </is>
      </c>
      <c r="H45" s="140" t="inlineStr">
        <is>
          <t>Canon Doctrine Registry defines VOICE-11 through VOICE-15: Voice Spine Schema, Character Voice Profile, Drift Detection &amp; Heatmap, Voice × 13-Criteria Crosswalk, ETL &amp; Audit Requirements. This is a distinct analytical subsystem for voice consistency.</t>
        </is>
      </c>
      <c r="I45" s="140" t="inlineStr">
        <is>
          <t>Implement voice spine schema (character voice profiles per work). Build drift detection algorithm (flag voice inconsistency across chapters/scenes). Heatmap visualization. Cross-reference with 13-criteria evaluation.</t>
        </is>
      </c>
      <c r="J45" s="136" t="inlineStr">
        <is>
          <t>lib/analysis/voice/</t>
        </is>
      </c>
      <c r="K45" s="159" t="inlineStr">
        <is>
          <t>Mike</t>
        </is>
      </c>
      <c r="L45" s="159" t="inlineStr">
        <is>
          <t>14-20</t>
        </is>
      </c>
      <c r="M45" s="159" t="inlineStr">
        <is>
          <t>2.8 + 3.3</t>
        </is>
      </c>
      <c r="N45" s="140" t="inlineStr">
        <is>
          <t>Voice profiles generated per character. Drift flagged across chapters. Heatmap renders. Voice metrics feed into evaluation criteria.</t>
        </is>
      </c>
      <c r="O45" s="140" t="inlineStr">
        <is>
          <t>Submit manuscript with intentional voice drift in chapter 5 — flagged. Submit consistent manuscript — clean. Heatmap renders without errors.</t>
        </is>
      </c>
      <c r="P45" s="159" t="inlineStr">
        <is>
          <t>No</t>
        </is>
      </c>
      <c r="Q45" s="140" t="inlineStr">
        <is>
          <t>Advanced analytical feature. Depends on multi-chunk synthesis being complete.</t>
        </is>
      </c>
      <c r="R45" s="163" t="inlineStr">
        <is>
          <t>Canon Doctrine Registry (VOICE-11 through VOICE-15), Vol II (diagnostic patterns)</t>
        </is>
      </c>
    </row>
    <row r="47" ht="15" customHeight="1" s="96">
      <c r="A47" s="123" t="inlineStr">
        <is>
          <t>← Back to Overview</t>
        </is>
      </c>
    </row>
  </sheetData>
  <autoFilter ref="A1:R45"/>
  <hyperlinks>
    <hyperlink ref="A34" location="'Overview'!A1" display="#'Overview'.A1"/>
    <hyperlink ref="A44" location="'Overview'!A1" display="#'Overview'.A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T4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5" activeCellId="0" sqref="A5"/>
    </sheetView>
  </sheetViews>
  <sheetFormatPr baseColWidth="8" defaultColWidth="8.6796875" defaultRowHeight="14.25" customHeight="1" zeroHeight="0" outlineLevelRow="0"/>
  <cols>
    <col width="18" customWidth="1" style="95" min="1" max="1"/>
    <col width="10" customWidth="1" style="95" min="2" max="7"/>
    <col width="50" customWidth="1" style="95" min="8" max="9"/>
    <col width="46" customWidth="1" style="95" min="10" max="10"/>
  </cols>
  <sheetData>
    <row r="1" ht="30" customHeight="1" s="96">
      <c r="A1" s="125" t="inlineStr">
        <is>
          <t>Sprint</t>
        </is>
      </c>
      <c r="B1" s="125" t="inlineStr">
        <is>
          <t>Phase_ID</t>
        </is>
      </c>
      <c r="C1" s="125" t="inlineStr">
        <is>
          <t>Task_Group</t>
        </is>
      </c>
      <c r="D1" s="125" t="inlineStr">
        <is>
          <t>Subtask_ID</t>
        </is>
      </c>
      <c r="E1" s="125" t="inlineStr">
        <is>
          <t>Subtask</t>
        </is>
      </c>
      <c r="F1" s="125" t="inlineStr">
        <is>
          <t>Type</t>
        </is>
      </c>
      <c r="G1" s="125" t="inlineStr">
        <is>
          <t>Where (Codebase)</t>
        </is>
      </c>
      <c r="H1" s="125" t="inlineStr">
        <is>
          <t>Success Criteria</t>
        </is>
      </c>
      <c r="I1" s="125" t="inlineStr">
        <is>
          <t>Test Method</t>
        </is>
      </c>
      <c r="J1" s="125" t="inlineStr">
        <is>
          <t>Output Artifact</t>
        </is>
      </c>
      <c r="K1" s="168" t="inlineStr">
        <is>
          <t>Status</t>
        </is>
      </c>
      <c r="L1" s="168" t="n"/>
      <c r="M1" s="168" t="n"/>
      <c r="N1" s="168" t="n"/>
      <c r="O1" s="168" t="n"/>
      <c r="P1" s="168" t="n"/>
      <c r="Q1" s="168" t="n"/>
      <c r="R1" s="168" t="n"/>
      <c r="S1" s="168" t="n"/>
      <c r="T1" s="168" t="n"/>
    </row>
    <row r="2" ht="72" customHeight="1" s="96">
      <c r="A2" s="95" t="inlineStr">
        <is>
          <t>PHASE 0</t>
        </is>
      </c>
      <c r="B2" s="95" t="inlineStr">
        <is>
          <t>Canon Integration &amp; Authority Enforcement</t>
        </is>
      </c>
      <c r="C2" s="95" t="inlineStr">
        <is>
          <t>Bind canon registry, lessons learned, and governance into runtime enforcement layer</t>
        </is>
      </c>
      <c r="D2" s="95" t="inlineStr">
        <is>
          <t>Required before Phase 2.2</t>
        </is>
      </c>
    </row>
    <row r="3" ht="72" customHeight="1" s="96">
      <c r="A3" s="95" t="inlineStr">
        <is>
          <t>0.1</t>
        </is>
      </c>
      <c r="B3" s="95" t="inlineStr">
        <is>
          <t>Canon Registry Binding</t>
        </is>
      </c>
      <c r="C3" s="95" t="inlineStr">
        <is>
          <t>Map Vol I–V, Doctrine Registry, Lessons Learned into canonical IDs + precedence</t>
        </is>
      </c>
    </row>
    <row r="4" ht="72" customHeight="1" s="96">
      <c r="A4" s="95" t="inlineStr">
        <is>
          <t>0.2</t>
        </is>
      </c>
      <c r="B4" s="95" t="inlineStr">
        <is>
          <t>Lessons → Rules Mapping</t>
        </is>
      </c>
      <c r="C4" s="95" t="inlineStr">
        <is>
          <t>Convert lessons learned into validation rules (blur, authority transfer, stalled scenes)</t>
        </is>
      </c>
    </row>
    <row r="5" ht="72" customHeight="1" s="96">
      <c r="A5" s="95" t="inlineStr">
        <is>
          <t>0.3</t>
        </is>
      </c>
      <c r="B5" s="95" t="inlineStr">
        <is>
          <t>Canon Guard Runtime</t>
        </is>
      </c>
      <c r="C5" s="95" t="inlineStr">
        <is>
          <t>Fail execution if output violates canon (no silent pass)</t>
        </is>
      </c>
    </row>
    <row r="6" ht="72" customHeight="1" s="96">
      <c r="A6" s="95" t="inlineStr">
        <is>
          <t>0.4</t>
        </is>
      </c>
      <c r="B6" s="95" t="inlineStr">
        <is>
          <t>Audit Layer</t>
        </is>
      </c>
      <c r="C6" s="95" t="inlineStr">
        <is>
          <t>Produce canon compliance report per run</t>
        </is>
      </c>
    </row>
    <row r="7" ht="72" customHeight="1" s="96">
      <c r="A7" s="133" t="inlineStr">
        <is>
          <t>S0-Apply-Engine</t>
        </is>
      </c>
      <c r="B7" s="133" t="n">
        <v>2.1</v>
      </c>
      <c r="C7" s="169" t="inlineStr">
        <is>
          <t>Anchor Metadata System</t>
        </is>
      </c>
      <c r="D7" s="133" t="inlineStr">
        <is>
          <t>2.1.a</t>
        </is>
      </c>
      <c r="E7" s="169" t="inlineStr">
        <is>
          <t>Complete</t>
        </is>
      </c>
      <c r="F7" s="133" t="inlineStr">
        <is>
          <t>Design</t>
        </is>
      </c>
      <c r="G7" s="169" t="inlineStr">
        <is>
          <t>DB / Schema</t>
        </is>
      </c>
      <c r="H7" s="132" t="inlineStr">
        <is>
          <t>Schema defines start_offset (int), end_offset (int), before_context + after_context (strings, ~40 chars each). All fields required, non-nullable.</t>
        </is>
      </c>
      <c r="I7" s="132" t="inlineStr">
        <is>
          <t>Schema review + Zod parse test: feed 10 valid and 10 malformed anchors. 100% correct accept/reject.</t>
        </is>
      </c>
      <c r="J7" s="132" t="inlineStr">
        <is>
          <t>docs/schemas/anchor-metadata.md + Zod schema file (lib/types/anchor.ts)</t>
        </is>
      </c>
      <c r="K7" s="168" t="n"/>
      <c r="L7" s="168" t="n"/>
      <c r="M7" s="168" t="n"/>
      <c r="N7" s="168" t="n"/>
      <c r="O7" s="168" t="n"/>
      <c r="P7" s="168" t="n"/>
      <c r="Q7" s="168" t="n"/>
      <c r="R7" s="168" t="n"/>
      <c r="S7" s="168" t="n"/>
      <c r="T7" s="168" t="n"/>
    </row>
    <row r="8" ht="72" customHeight="1" s="96">
      <c r="A8" s="142" t="inlineStr">
        <is>
          <t>S0-Apply-Engine</t>
        </is>
      </c>
      <c r="B8" s="142" t="n">
        <v>2.1</v>
      </c>
      <c r="C8" s="143" t="inlineStr">
        <is>
          <t>Anchor Metadata System</t>
        </is>
      </c>
      <c r="D8" s="142" t="inlineStr">
        <is>
          <t>2.1.b</t>
        </is>
      </c>
      <c r="E8" s="143" t="inlineStr">
        <is>
          <t>Complete</t>
        </is>
      </c>
      <c r="F8" s="142" t="inlineStr">
        <is>
          <t>DB Migration</t>
        </is>
      </c>
      <c r="G8" s="143" t="inlineStr">
        <is>
          <t>supabase/migrations</t>
        </is>
      </c>
      <c r="H8" s="145" t="inlineStr">
        <is>
          <t>Migration runs clean on empty and populated DB. change_proposals table has start_offset, end_offset, before_context/after_context columns. Rollback succeeds without data loss.</t>
        </is>
      </c>
      <c r="I8" s="145" t="inlineStr">
        <is>
          <t>supabase db reset + migrate up + migrate down. Verify columns exist via SQL introspection. Insert test row, rollback, confirm no orphan data.</t>
        </is>
      </c>
      <c r="J8" s="145" t="inlineStr">
        <is>
          <t>supabase/migrations/&lt;timestamp&gt;_add_anchor_fields.sql + migration test log</t>
        </is>
      </c>
      <c r="K8" s="168" t="n"/>
      <c r="L8" s="168" t="n"/>
      <c r="M8" s="168" t="n"/>
      <c r="N8" s="168" t="n"/>
      <c r="O8" s="168" t="n"/>
      <c r="P8" s="168" t="n"/>
      <c r="Q8" s="168" t="n"/>
      <c r="R8" s="168" t="n"/>
      <c r="S8" s="168" t="n"/>
      <c r="T8" s="168" t="n"/>
    </row>
    <row r="9" ht="72" customHeight="1" s="96">
      <c r="A9" s="136" t="inlineStr">
        <is>
          <t>S0-Apply-Engine</t>
        </is>
      </c>
      <c r="B9" s="136" t="n">
        <v>2.1</v>
      </c>
      <c r="C9" s="137" t="inlineStr">
        <is>
          <t>Anchor Metadata System</t>
        </is>
      </c>
      <c r="D9" s="136" t="inlineStr">
        <is>
          <t>2.1.c</t>
        </is>
      </c>
      <c r="E9" s="137" t="inlineStr">
        <is>
          <t>Complete</t>
        </is>
      </c>
      <c r="F9" s="136" t="inlineStr">
        <is>
          <t>Backend</t>
        </is>
      </c>
      <c r="G9" s="137" t="inlineStr">
        <is>
          <t>lib/db/, lib/types/</t>
        </is>
      </c>
      <c r="H9" s="140" t="inlineStr">
        <is>
          <t>TS types and Zod validators match DB schema exactly. All proposal CRUD operations enforce anchor fields. No untyped access to anchor data anywhere in codebase.</t>
        </is>
      </c>
      <c r="I9" s="140" t="inlineStr">
        <is>
          <t>TypeScript strict compile (0 errors). Zod .parse() on 20 sample proposals (10 valid, 10 invalid). grep codebase for raw SQL accessing anchor columns — must be 0.</t>
        </is>
      </c>
      <c r="J9" s="140" t="inlineStr">
        <is>
          <t>lib/types/proposal.ts + lib/db/proposals.ts (updated) + TS compile log</t>
        </is>
      </c>
      <c r="K9" s="168" t="n"/>
      <c r="L9" s="168" t="n"/>
      <c r="M9" s="168" t="n"/>
      <c r="N9" s="168" t="n"/>
      <c r="O9" s="168" t="n"/>
      <c r="P9" s="168" t="n"/>
      <c r="Q9" s="168" t="n"/>
      <c r="R9" s="168" t="n"/>
      <c r="S9" s="168" t="n"/>
      <c r="T9" s="168" t="n"/>
    </row>
    <row r="10" ht="72" customHeight="1" s="96">
      <c r="A10" s="142" t="inlineStr">
        <is>
          <t>S0-Apply-Engine</t>
        </is>
      </c>
      <c r="B10" s="142" t="n">
        <v>2.1</v>
      </c>
      <c r="C10" s="143" t="inlineStr">
        <is>
          <t>Anchor Metadata System</t>
        </is>
      </c>
      <c r="D10" s="142" t="inlineStr">
        <is>
          <t>2.1.d</t>
        </is>
      </c>
      <c r="E10" s="143" t="inlineStr">
        <is>
          <t>Complete</t>
        </is>
      </c>
      <c r="F10" s="142" t="inlineStr">
        <is>
          <t>Validation / Tests</t>
        </is>
      </c>
      <c r="G10" s="143" t="inlineStr">
        <is>
          <t>lib/validation/, tests/anchors/</t>
        </is>
      </c>
      <c r="H10" s="145" t="inlineStr">
        <is>
          <t>100% of proposals in test corpus have valid anchors. 0 proposals accepted with null/empty start_offset, end_offset, or before_context/after_context. Validation rejects malformed anchors at insert time.</t>
        </is>
      </c>
      <c r="I10" s="145" t="inlineStr">
        <is>
          <t>Run full proposal generation pipeline on 3 sample manuscripts. Query: SELECT COUNT(*) FROM change_proposals WHERE start_offset IS NULL OR end_offset IS NULL — must return 0. Attempt 5 invalid inserts — all rejected.</t>
        </is>
      </c>
      <c r="J10" s="145" t="inlineStr">
        <is>
          <t>tests/anchors/anchor-validation.test.ts + test run report (pass/fail counts)</t>
        </is>
      </c>
      <c r="K10" s="168" t="n"/>
      <c r="L10" s="168" t="n"/>
      <c r="M10" s="168" t="n"/>
      <c r="N10" s="168" t="n"/>
      <c r="O10" s="168" t="n"/>
      <c r="P10" s="168" t="n"/>
      <c r="Q10" s="168" t="n"/>
      <c r="R10" s="168" t="n"/>
      <c r="S10" s="168" t="n"/>
      <c r="T10" s="168" t="n"/>
    </row>
    <row r="11" ht="72" customHeight="1" s="96">
      <c r="A11" s="133" t="inlineStr">
        <is>
          <t>S0-Apply-Engine</t>
        </is>
      </c>
      <c r="B11" s="133" t="n">
        <v>2.2</v>
      </c>
      <c r="C11" s="169" t="inlineStr">
        <is>
          <t>Proposal Extraction</t>
        </is>
      </c>
      <c r="D11" s="133" t="inlineStr">
        <is>
          <t>2.2.a</t>
        </is>
      </c>
      <c r="E11" s="169" t="inlineStr">
        <is>
          <t>Define extraction contract</t>
        </is>
      </c>
      <c r="F11" s="133" t="inlineStr">
        <is>
          <t>Design</t>
        </is>
      </c>
      <c r="G11" s="169" t="inlineStr">
        <is>
          <t>docs/contracts/, schemas/</t>
        </is>
      </c>
      <c r="H11" s="132" t="inlineStr">
        <is>
          <t>Contract document specifies: input format, output schema, whitespace handling rules, partial-capture rejection criteria, edge cases (unicode, line breaks, tabs). Reviewed and signed off.</t>
        </is>
      </c>
      <c r="I11" s="132" t="inlineStr">
        <is>
          <t>Peer review: walk through 5 edge-case examples against the contract. Each example must have a deterministic expected output documented.</t>
        </is>
      </c>
      <c r="J11" s="132" t="inlineStr">
        <is>
          <t>docs/contracts/extraction-contract.md + 5 edge-case examples in docs/contracts/extraction-examples.md</t>
        </is>
      </c>
      <c r="K11" s="168" t="n"/>
      <c r="L11" s="168" t="n"/>
      <c r="M11" s="168" t="n"/>
      <c r="N11" s="168" t="n"/>
      <c r="O11" s="168" t="n"/>
      <c r="P11" s="168" t="n"/>
      <c r="Q11" s="168" t="n"/>
      <c r="R11" s="168" t="n"/>
      <c r="S11" s="168" t="n"/>
      <c r="T11" s="168" t="n"/>
    </row>
    <row r="12" ht="72" customHeight="1" s="96">
      <c r="A12" s="142" t="inlineStr">
        <is>
          <t>S0-Apply-Engine</t>
        </is>
      </c>
      <c r="B12" s="142" t="n">
        <v>2.2</v>
      </c>
      <c r="C12" s="143" t="inlineStr">
        <is>
          <t>Proposal Extraction</t>
        </is>
      </c>
      <c r="D12" s="142" t="inlineStr">
        <is>
          <t>2.2.b</t>
        </is>
      </c>
      <c r="E12" s="143" t="inlineStr">
        <is>
          <t>Implement extraction logic (0 whitespace drift)</t>
        </is>
      </c>
      <c r="F12" s="142" t="inlineStr">
        <is>
          <t>Backend</t>
        </is>
      </c>
      <c r="G12" s="143" t="inlineStr">
        <is>
          <t>lib/evaluation/proposals/</t>
        </is>
      </c>
      <c r="H12" s="145" t="inlineStr">
        <is>
          <t>0 whitespace drift: extracted anchor text matches source text byte-for-byte. 0 partial captures: every extraction includes complete sentence/clause boundaries. Handles unicode, em-dashes, smart quotes.</t>
        </is>
      </c>
      <c r="I12" s="145" t="inlineStr">
        <is>
          <t>Run extraction on 50+ proposals from 3 different manuscripts. Diff each extracted anchor against source text — 0 byte-level differences. Flag any extraction that splits mid-word or mid-clause.</t>
        </is>
      </c>
      <c r="J12" s="145" t="inlineStr">
        <is>
          <t>lib/evaluation/proposals/extractProposals.ts + extraction diff report (CSV: proposal_id, source_text, extracted_text, match_status)</t>
        </is>
      </c>
      <c r="K12" s="168" t="n"/>
      <c r="L12" s="168" t="n"/>
      <c r="M12" s="168" t="n"/>
      <c r="N12" s="168" t="n"/>
      <c r="O12" s="168" t="n"/>
      <c r="P12" s="168" t="n"/>
      <c r="Q12" s="168" t="n"/>
      <c r="R12" s="168" t="n"/>
      <c r="S12" s="168" t="n"/>
      <c r="T12" s="168" t="n"/>
    </row>
    <row r="13" ht="72" customHeight="1" s="96">
      <c r="A13" s="136" t="inlineStr">
        <is>
          <t>S0-Apply-Engine</t>
        </is>
      </c>
      <c r="B13" s="136" t="n">
        <v>2.2</v>
      </c>
      <c r="C13" s="137" t="inlineStr">
        <is>
          <t>Proposal Extraction</t>
        </is>
      </c>
      <c r="D13" s="136" t="inlineStr">
        <is>
          <t>2.2.c</t>
        </is>
      </c>
      <c r="E13" s="137" t="inlineStr">
        <is>
          <t>Add tests for 0 drift / partial captures</t>
        </is>
      </c>
      <c r="F13" s="136" t="inlineStr">
        <is>
          <t>Tests</t>
        </is>
      </c>
      <c r="G13" s="137" t="inlineStr">
        <is>
          <t>tests/proposals/</t>
        </is>
      </c>
      <c r="H13" s="140" t="inlineStr">
        <is>
          <t>Test suite covers: exact match, whitespace variants (tabs, double spaces, newlines), unicode (em-dash, curly quotes, accented chars), partial capture rejection, empty input, overlapping anchors.</t>
        </is>
      </c>
      <c r="I13" s="140" t="inlineStr">
        <is>
          <t>Run test suite: 100% pass. Coverage report shows ≥95% line coverage on extraction logic. Add regression test for every bug found during development.</t>
        </is>
      </c>
      <c r="J13" s="140" t="inlineStr">
        <is>
          <t>tests/proposals/extraction.test.ts + coverage report (HTML or lcov)</t>
        </is>
      </c>
      <c r="K13" s="168" t="n"/>
      <c r="L13" s="168" t="n"/>
      <c r="M13" s="168" t="n"/>
      <c r="N13" s="168" t="n"/>
      <c r="O13" s="168" t="n"/>
      <c r="P13" s="168" t="n"/>
      <c r="Q13" s="168" t="n"/>
      <c r="R13" s="168" t="n"/>
      <c r="S13" s="168" t="n"/>
      <c r="T13" s="168" t="n"/>
    </row>
    <row r="14" ht="72" customHeight="1" s="96">
      <c r="A14" s="133" t="inlineStr">
        <is>
          <t>S0-Apply-Engine</t>
        </is>
      </c>
      <c r="B14" s="133" t="n">
        <v>2.3</v>
      </c>
      <c r="C14" s="169" t="inlineStr">
        <is>
          <t>Location-Aware Apply</t>
        </is>
      </c>
      <c r="D14" s="133" t="inlineStr">
        <is>
          <t>2.3.a</t>
        </is>
      </c>
      <c r="E14" s="169" t="inlineStr">
        <is>
          <t>Design apply algorithm (offset + context + fallback)</t>
        </is>
      </c>
      <c r="F14" s="133" t="inlineStr">
        <is>
          <t>Design</t>
        </is>
      </c>
      <c r="G14" s="169" t="inlineStr">
        <is>
          <t>docs/algorithms/apply.md</t>
        </is>
      </c>
      <c r="H14" s="132" t="inlineStr">
        <is>
          <t>Algorithm doc specifies: primary match (offset), fallback match (context window ±N chars), conflict resolution (overlapping edits), idempotency guarantee. Pseudocode for each path.</t>
        </is>
      </c>
      <c r="I14" s="132" t="inlineStr">
        <is>
          <t>Walk through 10 scenarios on paper: exact match, offset shifted by edit, context fallback, overlapping proposals, duplicate apply. Each scenario has expected outcome documented.</t>
        </is>
      </c>
      <c r="J14" s="132" t="inlineStr">
        <is>
          <t>docs/algorithms/apply.md (with pseudocode + 10 scenario walkthroughs)</t>
        </is>
      </c>
      <c r="K14" s="168" t="n"/>
      <c r="L14" s="168" t="n"/>
      <c r="M14" s="168" t="n"/>
      <c r="N14" s="168" t="n"/>
      <c r="O14" s="168" t="n"/>
      <c r="P14" s="168" t="n"/>
      <c r="Q14" s="168" t="n"/>
      <c r="R14" s="168" t="n"/>
      <c r="S14" s="168" t="n"/>
      <c r="T14" s="168" t="n"/>
    </row>
    <row r="15" ht="101.25" customHeight="1" s="96">
      <c r="A15" s="136" t="inlineStr">
        <is>
          <t>S0-Apply-Engine</t>
        </is>
      </c>
      <c r="B15" s="136" t="n">
        <v>2.3</v>
      </c>
      <c r="C15" s="137" t="inlineStr">
        <is>
          <t>Location-Aware Apply</t>
        </is>
      </c>
      <c r="D15" s="136" t="inlineStr">
        <is>
          <t>2.3.b</t>
        </is>
      </c>
      <c r="E15" s="137" t="inlineStr">
        <is>
          <t>Implement deterministic apply function</t>
        </is>
      </c>
      <c r="F15" s="136" t="inlineStr">
        <is>
          <t>Backend</t>
        </is>
      </c>
      <c r="G15" s="137" t="inlineStr">
        <is>
          <t>lib/revision/applyEngine.ts</t>
        </is>
      </c>
      <c r="H15" s="140" t="inlineStr">
        <is>
          <t>≥99.5% correct placement on valid anchors. 0 incorrect edits (wrong location = critical failure). Idempotent: applying same proposal twice produces identical output. Handles multi-byte unicode correctly.</t>
        </is>
      </c>
      <c r="I15" s="140" t="inlineStr">
        <is>
          <t>Run 500-1000 proposals through apply engine. Diff original vs applied at character level. Rerun identical batch — output must be byte-identical. Test with unicode-heavy manuscript (Spanish, accented chars).</t>
        </is>
      </c>
      <c r="J15" s="140" t="inlineStr">
        <is>
          <t>lib/revision/applyEngine.ts + test log (pass/fail counts, placement accuracy %, idempotency check result)</t>
        </is>
      </c>
      <c r="K15" s="168" t="n"/>
      <c r="L15" s="168" t="n"/>
      <c r="M15" s="168" t="n"/>
      <c r="N15" s="168" t="n"/>
      <c r="O15" s="168" t="n"/>
      <c r="P15" s="168" t="n"/>
      <c r="Q15" s="168" t="n"/>
      <c r="R15" s="168" t="n"/>
      <c r="S15" s="168" t="n"/>
      <c r="T15" s="168" t="n"/>
    </row>
    <row r="16" ht="66.75" customHeight="1" s="96">
      <c r="A16" s="142" t="inlineStr">
        <is>
          <t>S0-Apply-Engine</t>
        </is>
      </c>
      <c r="B16" s="142" t="n">
        <v>2.3</v>
      </c>
      <c r="C16" s="143" t="inlineStr">
        <is>
          <t>Location-Aware Apply</t>
        </is>
      </c>
      <c r="D16" s="142" t="inlineStr">
        <is>
          <t>2.3.c</t>
        </is>
      </c>
      <c r="E16" s="143" t="inlineStr">
        <is>
          <t>Harness tests for ≥99.5% success</t>
        </is>
      </c>
      <c r="F16" s="142" t="inlineStr">
        <is>
          <t>Tests / Harness</t>
        </is>
      </c>
      <c r="G16" s="143" t="inlineStr">
        <is>
          <t>tests/applyEngine/</t>
        </is>
      </c>
      <c r="H16" s="145" t="inlineStr">
        <is>
          <t>Harness covers: exact offset match, context-fallback match, overlapping proposals, sequential multi-apply, idempotent rerun, unicode edge cases, empty proposal, proposal on deleted text.</t>
        </is>
      </c>
      <c r="I16" s="145" t="inlineStr">
        <is>
          <t>Automated harness: run full suite, report per-scenario pass/fail. ≥99.5% overall. 0 incorrect placements. Harness runs in CI (&lt; 60s). Add regression test for every production failure.</t>
        </is>
      </c>
      <c r="J16" s="145" t="inlineStr">
        <is>
          <t>tests/applyEngine/ (full harness) + CI integration (.github/workflows/) + harness summary report</t>
        </is>
      </c>
      <c r="K16" s="168" t="n"/>
      <c r="L16" s="168" t="n"/>
      <c r="M16" s="168" t="n"/>
      <c r="N16" s="168" t="n"/>
      <c r="O16" s="168" t="n"/>
      <c r="P16" s="168" t="n"/>
      <c r="Q16" s="168" t="n"/>
      <c r="R16" s="168" t="n"/>
      <c r="S16" s="168" t="n"/>
      <c r="T16" s="168" t="n"/>
    </row>
    <row r="17" ht="27.75" customHeight="1" s="96">
      <c r="A17" s="133" t="inlineStr">
        <is>
          <t>S0-Apply-Engine</t>
        </is>
      </c>
      <c r="B17" s="95" t="inlineStr">
        <is>
          <t>2.4</t>
        </is>
      </c>
      <c r="C17" s="95" t="inlineStr">
        <is>
          <t>Failure Classification</t>
        </is>
      </c>
      <c r="D17" s="95" t="inlineStr">
        <is>
          <t>2.4.a</t>
        </is>
      </c>
      <c r="E17" s="95" t="inlineStr">
        <is>
          <t>Enumerate failure codes</t>
        </is>
      </c>
      <c r="F17" s="95" t="inlineStr">
        <is>
          <t>Design</t>
        </is>
      </c>
      <c r="G17" s="95" t="inlineStr">
        <is>
          <t>docs/errors/, lib/errors/revisionCodes.ts</t>
        </is>
      </c>
      <c r="H17" s="95" t="inlineStr">
        <is>
          <t>Closed set of failure codes (ANCHOR_MISS, CONFLICT, PARSE_ERROR, INVARIANT_VIOLATION). No UNKNOWN or empty types.</t>
        </is>
      </c>
      <c r="I17" s="95" t="inlineStr">
        <is>
          <t>Review code for any untyped throw/catch. Grep for unknown failure strings.</t>
        </is>
      </c>
      <c r="J17" s="95" t="inlineStr">
        <is>
          <t>lib/errors/revisionCodes.ts, PACK_F_EXECUTION_CONTRACT.md</t>
        </is>
      </c>
      <c r="K17" s="168" t="n"/>
      <c r="L17" s="168" t="n"/>
      <c r="M17" s="168" t="n"/>
      <c r="N17" s="168" t="n"/>
      <c r="O17" s="168" t="n"/>
      <c r="P17" s="168" t="n"/>
      <c r="Q17" s="168" t="n"/>
      <c r="R17" s="168" t="n"/>
      <c r="S17" s="168" t="n"/>
      <c r="T17" s="168" t="n"/>
    </row>
    <row r="18" ht="36" customHeight="1" s="96">
      <c r="A18" s="142" t="inlineStr">
        <is>
          <t>S0-Apply-Engine</t>
        </is>
      </c>
      <c r="B18" s="142" t="inlineStr">
        <is>
          <t>2.4</t>
        </is>
      </c>
      <c r="C18" s="95" t="inlineStr">
        <is>
          <t>Failure Classification</t>
        </is>
      </c>
      <c r="D18" s="95" t="inlineStr">
        <is>
          <t>2.4.b</t>
        </is>
      </c>
      <c r="E18" s="95" t="inlineStr">
        <is>
          <t>Wire codes into revision_sessions + telemetry</t>
        </is>
      </c>
      <c r="F18" s="95" t="inlineStr">
        <is>
          <t>Backend / DB</t>
        </is>
      </c>
      <c r="G18" s="95" t="inlineStr">
        <is>
          <t>supabase/migrations, lib/db/revisionSessions.ts, lib/revision/telemetry.ts</t>
        </is>
      </c>
      <c r="H18" s="95" t="inlineStr">
        <is>
          <t>Every failed apply stores a specific failure code + context. Telemetry event codes cover all apply paths.</t>
        </is>
      </c>
      <c r="I18" s="95" t="inlineStr">
        <is>
          <t>Run all apply paths (valid, invalid offsets, overlap, stale anchor). Verify DB row has non-null failure_code.</t>
        </is>
      </c>
      <c r="J18" s="95" t="inlineStr">
        <is>
          <t>Updated revision_sessions schema, telemetry.ts event codes</t>
        </is>
      </c>
      <c r="K18" s="168" t="n"/>
      <c r="L18" s="168" t="n"/>
      <c r="M18" s="168" t="n"/>
      <c r="N18" s="168" t="n"/>
      <c r="O18" s="168" t="n"/>
      <c r="P18" s="168" t="n"/>
      <c r="Q18" s="168" t="n"/>
      <c r="R18" s="168" t="n"/>
      <c r="S18" s="168" t="n"/>
      <c r="T18" s="168" t="n"/>
    </row>
    <row r="19" ht="36" customHeight="1" s="96">
      <c r="A19" s="136" t="inlineStr">
        <is>
          <t>S0-Apply-Engine</t>
        </is>
      </c>
      <c r="B19" s="136" t="inlineStr">
        <is>
          <t>2.4</t>
        </is>
      </c>
      <c r="C19" s="95" t="inlineStr">
        <is>
          <t>Failure Classification</t>
        </is>
      </c>
      <c r="D19" s="95" t="inlineStr">
        <is>
          <t>2.4.c</t>
        </is>
      </c>
      <c r="E19" s="95" t="inlineStr">
        <is>
          <t>Tests: 100% classified failures + Pack F soak qualification</t>
        </is>
      </c>
      <c r="F19" s="95" t="inlineStr">
        <is>
          <t>Tests / Harness</t>
        </is>
      </c>
      <c r="G19" s="95" t="inlineStr">
        <is>
          <t>tests/failures/, tests/operations/, scripts/soak/</t>
        </is>
      </c>
      <c r="H19" s="95" t="inlineStr">
        <is>
          <t>10 suites/100 tests green. Pack F 100k soak: 0 unclassified, 0 wrong-location, 0 lost writes.</t>
        </is>
      </c>
      <c r="I19" s="95" t="inlineStr">
        <is>
          <t>npm test (full suite). npm run soak:run with 1k/10k/100k events. Verify archived evidence ladder.</t>
        </is>
      </c>
      <c r="J19" s="95" t="inlineStr">
        <is>
          <t>soak-harness.test.ts, packF archives (1k/10k/100k)</t>
        </is>
      </c>
      <c r="K19" s="168" t="n"/>
      <c r="L19" s="168" t="n"/>
      <c r="M19" s="168" t="n"/>
      <c r="N19" s="168" t="n"/>
      <c r="O19" s="168" t="n"/>
      <c r="P19" s="168" t="n"/>
      <c r="Q19" s="168" t="n"/>
      <c r="R19" s="168" t="n"/>
      <c r="S19" s="168" t="n"/>
      <c r="T19" s="168" t="n"/>
    </row>
    <row r="20" ht="36" customHeight="1" s="96">
      <c r="A20" s="189" t="inlineStr">
        <is>
          <t>S0-Apply-Engine</t>
        </is>
      </c>
      <c r="B20" s="95" t="inlineStr">
        <is>
          <t>2.5</t>
        </is>
      </c>
      <c r="C20" s="95" t="inlineStr">
        <is>
          <t>Stage Validation</t>
        </is>
      </c>
      <c r="D20" s="95" t="inlineStr">
        <is>
          <t>2.5.a</t>
        </is>
      </c>
      <c r="E20" s="95" t="inlineStr">
        <is>
          <t>Build deterministic stage-validation e2e harness</t>
        </is>
      </c>
      <c r="F20" s="95" t="inlineStr">
        <is>
          <t>Tests / Harness</t>
        </is>
      </c>
      <c r="G20" s="95" t="inlineStr">
        <is>
          <t>tests/anchors/stage-validation-e2e.test.ts</t>
        </is>
      </c>
      <c r="H20" s="95" t="inlineStr">
        <is>
          <t>5 success cases + 3 failure cases. 9/9 ingest, 9/9 extract, 9/9 validate, 9/9 apply. All pass.</t>
        </is>
      </c>
      <c r="I20" s="95" t="inlineStr">
        <is>
          <t>npm test -- tests/anchors/stage-validation-e2e.test.ts. Verify JSON: pass=true.</t>
        </is>
      </c>
      <c r="J20" s="95" t="inlineStr">
        <is>
          <t>stage-validation-e2e.test.ts, pack25 JSON/MD reports</t>
        </is>
      </c>
      <c r="K20" s="168" t="n"/>
      <c r="L20" s="168" t="n"/>
      <c r="M20" s="168" t="n"/>
      <c r="N20" s="168" t="n"/>
      <c r="O20" s="168" t="n"/>
      <c r="P20" s="168" t="n"/>
      <c r="Q20" s="168" t="n"/>
      <c r="R20" s="168" t="n"/>
      <c r="S20" s="168" t="n"/>
      <c r="T20" s="168" t="n"/>
    </row>
    <row r="21" ht="36" customHeight="1" s="96">
      <c r="A21" s="189" t="inlineStr">
        <is>
          <t>S0-Apply-Engine</t>
        </is>
      </c>
      <c r="B21" s="95" t="inlineStr">
        <is>
          <t>2.5</t>
        </is>
      </c>
      <c r="C21" s="95" t="inlineStr">
        <is>
          <t>Stage Validation</t>
        </is>
      </c>
      <c r="D21" s="95" t="inlineStr">
        <is>
          <t>2.5.b</t>
        </is>
      </c>
      <c r="E21" s="95" t="inlineStr">
        <is>
          <t>Repeated-run byte identity proof + evidence archival</t>
        </is>
      </c>
      <c r="F21" s="95" t="inlineStr">
        <is>
          <t>Tests / Evidence</t>
        </is>
      </c>
      <c r="G21" s="95" t="inlineStr">
        <is>
          <t>docs/operations/evidence/runs/</t>
        </is>
      </c>
      <c r="H21" s="95" t="inlineStr">
        <is>
          <t>repeated_run_identity_passed=true for all cases. Pipeline-identity byte-identical across runs. 3 evidence runs archived.</t>
        </is>
      </c>
      <c r="I21" s="95" t="inlineStr">
        <is>
          <t>Run harness with PACK_25_REPORT_DIR. Verify JSON: repeated_run_identity_passed=true.</t>
        </is>
      </c>
      <c r="J21" s="95" t="inlineStr">
        <is>
          <t>3 archived evidence directories under docs/operations/evidence/runs/</t>
        </is>
      </c>
      <c r="K21" s="168" t="n"/>
      <c r="L21" s="168" t="n"/>
      <c r="M21" s="168" t="n"/>
      <c r="N21" s="168" t="n"/>
      <c r="O21" s="168" t="n"/>
      <c r="P21" s="168" t="n"/>
      <c r="Q21" s="168" t="n"/>
      <c r="R21" s="168" t="n"/>
      <c r="S21" s="168" t="n"/>
      <c r="T21" s="168" t="n"/>
    </row>
    <row r="22" ht="36" customHeight="1" s="96">
      <c r="A22" s="95" t="inlineStr">
        <is>
          <t>S0-Apply-Engine</t>
        </is>
      </c>
      <c r="B22" s="95" t="inlineStr">
        <is>
          <t>2.6</t>
        </is>
      </c>
      <c r="C22" s="95" t="inlineStr">
        <is>
          <t>A6 Report Credibility</t>
        </is>
      </c>
      <c r="D22" s="95" t="inlineStr">
        <is>
          <t>2.6.a</t>
        </is>
      </c>
      <c r="E22" s="95" t="inlineStr">
        <is>
          <t>Build A6 report: types, buildA6Report, confidence, provenance, validateA6Report, writeA6Artifacts</t>
        </is>
      </c>
      <c r="F22" s="95" t="inlineStr">
        <is>
          <t>Backend</t>
        </is>
      </c>
      <c r="G22" s="95" t="inlineStr">
        <is>
          <t>lib/evaluation/a6/</t>
        </is>
      </c>
      <c r="H22" s="95" t="inlineStr">
        <is>
          <t>buildA6Report produces valid rubric + confidence + provenance; validateA6Report enforces invariants</t>
        </is>
      </c>
      <c r="I22" s="95" t="inlineStr">
        <is>
          <t>4 unit tests in a6-report-credibility.test.ts (rubric, missing-refs, phantom-anchor, confidence-richness)</t>
        </is>
      </c>
      <c r="J22" s="95" t="inlineStr">
        <is>
          <t>lib/evaluation/a6/*.ts (6 modules), a6_report.json, a6_validation_summary.json</t>
        </is>
      </c>
    </row>
    <row r="23" ht="36" customHeight="1" s="96">
      <c r="A23" s="95" t="inlineStr">
        <is>
          <t>S0-Apply-Engine</t>
        </is>
      </c>
      <c r="B23" s="95" t="inlineStr">
        <is>
          <t>2.6</t>
        </is>
      </c>
      <c r="C23" s="95" t="inlineStr">
        <is>
          <t>A6 Report Credibility</t>
        </is>
      </c>
      <c r="D23" s="95" t="inlineStr">
        <is>
          <t>2.6.b</t>
        </is>
      </c>
      <c r="E23" s="95" t="inlineStr">
        <is>
          <t>Evidence run + artifact output (JSON+MD) + validation summary</t>
        </is>
      </c>
      <c r="F23" s="95" t="inlineStr">
        <is>
          <t>Tests / Evidence</t>
        </is>
      </c>
      <c r="G23" s="95" t="inlineStr">
        <is>
          <t>scripts/a6/, tests/evaluation/, docs/operations/evidence/runs/</t>
        </is>
      </c>
      <c r="H23" s="95" t="inlineStr">
        <is>
          <t>Evidence artifacts generated, all invariants pass, failure cases (missing-refs, phantom-anchor) tested</t>
        </is>
      </c>
      <c r="I23" s="95" t="inlineStr">
        <is>
          <t>a6-artifact-output.test.ts (JSON+MD write) + run-a6-evidence.ts execution</t>
        </is>
      </c>
      <c r="J23" s="95" t="inlineStr">
        <is>
          <t>a6_report.json, a6_report.md, a6_validation_summary.json, metadata.json</t>
        </is>
      </c>
    </row>
    <row r="24" ht="36" customHeight="1" s="96">
      <c r="A24" s="95" t="inlineStr">
        <is>
          <t>S0-Apply-Engine</t>
        </is>
      </c>
      <c r="B24" s="95" t="inlineStr">
        <is>
          <t>2.6</t>
        </is>
      </c>
      <c r="C24" s="95" t="inlineStr">
        <is>
          <t>A6 Report Credibility</t>
        </is>
      </c>
      <c r="D24" s="95" t="inlineStr">
        <is>
          <t>2.6.c</t>
        </is>
      </c>
      <c r="E24" s="95" t="inlineStr">
        <is>
          <t>Closure documentation + offset audit + ChatGPT verification</t>
        </is>
      </c>
      <c r="F24" s="95" t="inlineStr">
        <is>
          <t>Governance</t>
        </is>
      </c>
      <c r="G24" s="95" t="inlineStr">
        <is>
          <t>PHASE_2_6_A6_REPORT_CREDIBILITY_CLOSURE.md</t>
        </is>
      </c>
      <c r="H24" s="95" t="inlineStr">
        <is>
          <t>Closure doc populated (214 lines, 7559 bytes on main), spec compliance verified, offset consistency confirmed [43,86)</t>
        </is>
      </c>
      <c r="I24" s="95" t="inlineStr">
        <is>
          <t>Manual review: closure doc completeness, offset consistency, 5/5 tests green post-fix (38d9c19)</t>
        </is>
      </c>
      <c r="J24" s="95" t="inlineStr">
        <is>
          <t>PHASE_2_6_A6_REPORT_CREDIBILITY_CLOSURE.md (landed on main at 66b84e4, 214 lines)</t>
        </is>
      </c>
    </row>
    <row r="25" ht="135.75" customHeight="1" s="96">
      <c r="A25" s="101" t="inlineStr">
        <is>
          <t>EXECUTION GOVERNANCE NOTES</t>
        </is>
      </c>
      <c r="B25" s="95" t="n"/>
      <c r="K25" s="168" t="n"/>
      <c r="L25" s="168" t="n"/>
      <c r="M25" s="168" t="n"/>
      <c r="N25" s="168" t="n"/>
      <c r="O25" s="168" t="n"/>
      <c r="P25" s="168" t="n"/>
      <c r="Q25" s="168" t="n"/>
      <c r="R25" s="168" t="n"/>
      <c r="S25" s="168" t="n"/>
      <c r="T25" s="168" t="n"/>
    </row>
    <row r="26" ht="225" customHeight="1" s="96">
      <c r="A26" s="172" t="inlineStr">
        <is>
          <t>Current State</t>
        </is>
      </c>
      <c r="B26" s="173" t="inlineStr">
        <is>
          <t>Roadmap (strategic) + Sprint (operational) + Verification (truth). Three-layer execution structure.</t>
        </is>
      </c>
      <c r="C26" s="170" t="n"/>
      <c r="D26" s="170" t="n"/>
      <c r="E26" s="170" t="n"/>
      <c r="F26" s="170" t="n"/>
      <c r="G26" s="170" t="n"/>
      <c r="H26" s="170" t="n"/>
      <c r="I26" s="170" t="n"/>
      <c r="J26" s="170" t="n"/>
      <c r="K26" s="168" t="n"/>
      <c r="L26" s="168" t="n"/>
      <c r="M26" s="168" t="n"/>
      <c r="N26" s="168" t="n"/>
      <c r="O26" s="168" t="n"/>
      <c r="P26" s="168" t="n"/>
      <c r="Q26" s="168" t="n"/>
      <c r="R26" s="168" t="n"/>
      <c r="S26" s="168" t="n"/>
      <c r="T26" s="168" t="n"/>
    </row>
    <row r="27" ht="202.5" customHeight="1" s="96">
      <c r="A27" s="172" t="inlineStr">
        <is>
          <t>Core Principle</t>
        </is>
      </c>
      <c r="B27" s="173" t="inlineStr">
        <is>
          <t>Eliminate "I think this is done." Replace with "This passed its defined success test." Every row has provable completion.</t>
        </is>
      </c>
      <c r="C27" s="170" t="n"/>
      <c r="D27" s="170" t="n"/>
      <c r="E27" s="170" t="n"/>
      <c r="F27" s="170" t="n"/>
      <c r="G27" s="170" t="n"/>
      <c r="H27" s="170" t="n"/>
      <c r="I27" s="170" t="n"/>
      <c r="J27" s="170" t="n"/>
    </row>
    <row r="28" ht="191.25" customHeight="1" s="96">
      <c r="A28" s="172" t="inlineStr">
        <is>
          <t>Critical Path</t>
        </is>
      </c>
      <c r="B28" s="173" t="inlineStr">
        <is>
          <t>2.1 → 2.2 → 2.3 → 2.4. Do NOT parallelize. Each depends on the prior being VERIFIED, not just coded.</t>
        </is>
      </c>
      <c r="C28" s="174" t="n"/>
      <c r="D28" s="174" t="n"/>
      <c r="E28" s="174" t="n"/>
      <c r="F28" s="174" t="n"/>
      <c r="G28" s="174" t="n"/>
      <c r="H28" s="174" t="n"/>
      <c r="I28" s="174" t="n"/>
      <c r="J28" s="174" t="n"/>
    </row>
    <row r="29" ht="314.25" customHeight="1" s="96">
      <c r="A29" s="172" t="inlineStr">
        <is>
          <t>2.3 Is The Product</t>
        </is>
      </c>
      <c r="B29" s="173" t="inlineStr">
        <is>
          <t>The apply engine is the product. Everything else — UI, reports, packaging — is presentation. If 2.3 is deterministic, idempotent, and precise, you win. If not, everything collapses.</t>
        </is>
      </c>
      <c r="C29" s="174" t="n"/>
      <c r="D29" s="174" t="n"/>
      <c r="E29" s="174" t="n"/>
      <c r="F29" s="174" t="n"/>
      <c r="G29" s="174" t="n"/>
      <c r="H29" s="174" t="n"/>
      <c r="I29" s="174" t="n"/>
      <c r="J29" s="174" t="n"/>
    </row>
    <row r="30">
      <c r="A30" s="172" t="inlineStr">
        <is>
          <t>When 2.3 Fails</t>
        </is>
      </c>
      <c r="B30" s="173" t="inlineStr">
        <is>
          <t>Do NOT patch. Do NOT add hacks. Log everything → classify failures (2.4) → refine determinism. This is the discipline that separates a system from a tool.</t>
        </is>
      </c>
      <c r="C30" s="174" t="n"/>
      <c r="D30" s="174" t="n"/>
      <c r="E30" s="174" t="n"/>
      <c r="F30" s="174" t="n"/>
      <c r="G30" s="174" t="n"/>
      <c r="H30" s="174" t="n"/>
      <c r="I30" s="174" t="n"/>
      <c r="J30" s="174" t="n"/>
    </row>
    <row r="31">
      <c r="A31" s="172" t="inlineStr">
        <is>
          <t>Scope Discipline</t>
        </is>
      </c>
      <c r="B31" s="173" t="inlineStr">
        <is>
          <t>Do NOT expand scope. Do NOT add features. Finish 2.1 VERIFIED → 2.2 VERIFIED → 2.3 VERIFIED → 2.4 VERIFIED. Then and only then move forward.</t>
        </is>
      </c>
      <c r="C31" s="174" t="n"/>
      <c r="D31" s="174" t="n"/>
      <c r="E31" s="174" t="n"/>
      <c r="F31" s="174" t="n"/>
      <c r="G31" s="174" t="n"/>
      <c r="H31" s="174" t="n"/>
      <c r="I31" s="174" t="n"/>
      <c r="J31" s="174" t="n"/>
    </row>
    <row r="32">
      <c r="A32" s="172" t="inlineStr">
        <is>
          <t>2.1 VERIFIED (2026-03-18). Code complete + tests pass + DB verification 6/6 gates passed on target DB. 21 anchored rows verified — deterministic slice contract holds. Data remediation: 2 manuscript_versions backfilled (raw_text from file_url), 15 anchor offsets recomputed. GATE CLEARED → 2.2 may proceed.</t>
        </is>
      </c>
      <c r="B32" s="173" t="inlineStr">
        <is>
          <t>2.1 CODE COMPLETE + TEST VERIFIED. DB rollout pending. SQL verification pack created (phase21-db-verification.sql). Runbook at tests/anchors/PHASE21_DB_VERIFICATION_RUNBOOK.md. GATE: DB verification must pass before 2.2 begins.</t>
        </is>
      </c>
      <c r="C32" s="174" t="n"/>
      <c r="D32" s="174" t="n"/>
      <c r="E32" s="174" t="n"/>
      <c r="F32" s="174" t="n"/>
      <c r="G32" s="174" t="n"/>
      <c r="H32" s="174" t="n"/>
      <c r="I32" s="174" t="n"/>
      <c r="J32" s="174" t="n"/>
    </row>
    <row r="33">
      <c r="A33" s="95" t="inlineStr">
        <is>
          <t>0</t>
        </is>
      </c>
      <c r="B33" s="95" t="inlineStr">
        <is>
          <t>2.7</t>
        </is>
      </c>
      <c r="C33" s="95" t="inlineStr">
        <is>
          <t>Pipeline Scaffold</t>
        </is>
      </c>
      <c r="D33" s="95" t="inlineStr">
        <is>
          <t>2.7.a</t>
        </is>
      </c>
      <c r="E33" s="95" t="inlineStr">
        <is>
          <t>Pass 1/2/3 runners + prompt templates + types</t>
        </is>
      </c>
      <c r="F33" s="95" t="inlineStr">
        <is>
          <t>Code</t>
        </is>
      </c>
      <c r="G33" s="95" t="inlineStr">
        <is>
          <t>lib/evaluation/pipeline/</t>
        </is>
      </c>
      <c r="H33" s="95" t="inlineStr">
        <is>
          <t>runPass1, runPass2, runPass3Synthesis exported and callable with DI seam</t>
        </is>
      </c>
      <c r="I33" s="95" t="inlineStr">
        <is>
          <t>pass1.test.ts, pass2.test.ts, pass3.test.ts — pure parser + DI runner tests</t>
        </is>
      </c>
      <c r="J33" s="95" t="inlineStr">
        <is>
          <t>9 lib files: runPass1.ts, runPass2.ts, runPass3Synthesis.ts, runPipeline.ts, qualityGate.ts, types.ts, 3 prompt files</t>
        </is>
      </c>
      <c r="K33" s="95" t="inlineStr">
        <is>
          <t>Complete</t>
        </is>
      </c>
    </row>
    <row r="34">
      <c r="A34" s="95" t="inlineStr">
        <is>
          <t>0</t>
        </is>
      </c>
      <c r="B34" s="95" t="inlineStr">
        <is>
          <t>2.7</t>
        </is>
      </c>
      <c r="C34" s="95" t="inlineStr">
        <is>
          <t>Pipeline Scaffold</t>
        </is>
      </c>
      <c r="D34" s="95" t="inlineStr">
        <is>
          <t>2.7.b</t>
        </is>
      </c>
      <c r="E34" s="95" t="inlineStr">
        <is>
          <t>Quality gate (10 deterministic checks, no AI)</t>
        </is>
      </c>
      <c r="F34" s="95" t="inlineStr">
        <is>
          <t>Code</t>
        </is>
      </c>
      <c r="G34" s="95" t="inlineStr">
        <is>
          <t>lib/evaluation/pipeline/qualityGate.ts</t>
        </is>
      </c>
      <c r="H34" s="95" t="inlineStr">
        <is>
          <t>All 10 QG checks pass on valid synthesis, fail on invalid. No AI calls.</t>
        </is>
      </c>
      <c r="I34" s="95" t="inlineStr">
        <is>
          <t>quality-gate.test.ts — 15 tests covering all error codes</t>
        </is>
      </c>
      <c r="J34" s="95" t="inlineStr">
        <is>
          <t>qualityGate.ts (214 lines), quality-gate.test.ts (345 lines)</t>
        </is>
      </c>
      <c r="K34" s="95" t="inlineStr">
        <is>
          <t>Complete</t>
        </is>
      </c>
    </row>
    <row r="35">
      <c r="A35" s="95" t="inlineStr">
        <is>
          <t>0</t>
        </is>
      </c>
      <c r="B35" s="95" t="inlineStr">
        <is>
          <t>2.7</t>
        </is>
      </c>
      <c r="C35" s="95" t="inlineStr">
        <is>
          <t>Pipeline Scaffold</t>
        </is>
      </c>
      <c r="D35" s="95" t="inlineStr">
        <is>
          <t>2.7.c</t>
        </is>
      </c>
      <c r="E35" s="95" t="inlineStr">
        <is>
          <t>Pipeline orchestrator + EvaluationResultV1 adapter</t>
        </is>
      </c>
      <c r="F35" s="95" t="inlineStr">
        <is>
          <t>Code</t>
        </is>
      </c>
      <c r="G35" s="95" t="inlineStr">
        <is>
          <t>lib/evaluation/pipeline/runPipeline.ts</t>
        </is>
      </c>
      <c r="H35" s="95" t="inlineStr">
        <is>
          <t>runPipeline orchestrates Pass 1→2→3→4, returns PipelineResult union. synthesisToEvaluationResult maps to V1 schema.</t>
        </is>
      </c>
      <c r="I35" s="95" t="inlineStr">
        <is>
          <t>pipeline-e2e.test.ts (7 tests), pipeline-independence.test.ts (4 tests)</t>
        </is>
      </c>
      <c r="J35" s="95" t="inlineStr">
        <is>
          <t>runPipeline.ts (241 lines) with _runners DI seam</t>
        </is>
      </c>
      <c r="K35" s="95" t="inlineStr">
        <is>
          <t>Complete</t>
        </is>
      </c>
    </row>
    <row r="36">
      <c r="A36" s="95" t="inlineStr">
        <is>
          <t>0</t>
        </is>
      </c>
      <c r="B36" s="95" t="inlineStr">
        <is>
          <t>2.7</t>
        </is>
      </c>
      <c r="C36" s="95" t="inlineStr">
        <is>
          <t>Test Harness</t>
        </is>
      </c>
      <c r="D36" s="95" t="inlineStr">
        <is>
          <t>2.7.d</t>
        </is>
      </c>
      <c r="E36" s="95" t="inlineStr">
        <is>
          <t>Jest/SWC mock-hoisting fix — DI refactor, zero jest.mock</t>
        </is>
      </c>
      <c r="F36" s="95" t="inlineStr">
        <is>
          <t>Test</t>
        </is>
      </c>
      <c r="G36" s="95" t="inlineStr">
        <is>
          <t>tests/evaluation/pipeline/</t>
        </is>
      </c>
      <c r="H36" s="95" t="inlineStr">
        <is>
          <t>52/52 tests pass. Zero jest.mock calls. Pure parser tests + DI runner injection.</t>
        </is>
      </c>
      <c r="I36" s="95" t="inlineStr">
        <is>
          <t>npm test -- tests/evaluation/pipeline/ --runInBand → 6 suites, 52 tests, all green</t>
        </is>
      </c>
      <c r="J36" s="95" t="inlineStr">
        <is>
          <t>6 test files, 52 tests. Commits: a6f0492, 9ef8afe, c91f26c</t>
        </is>
      </c>
      <c r="K36" s="95" t="inlineStr">
        <is>
          <t>Complete</t>
        </is>
      </c>
    </row>
    <row r="37">
      <c r="A37" s="95" t="n">
        <v>0</v>
      </c>
      <c r="B37" s="95" t="inlineStr">
        <is>
          <t>2.7</t>
        </is>
      </c>
      <c r="C37" s="95" t="inlineStr">
        <is>
          <t>Pipeline Hardening</t>
        </is>
      </c>
      <c r="D37" s="95" t="inlineStr">
        <is>
          <t>2.7.e</t>
        </is>
      </c>
      <c r="E37" s="95" t="inlineStr">
        <is>
          <t>Model override threading — end-to-end configurable model per pipeline run</t>
        </is>
      </c>
      <c r="F37" s="95" t="inlineStr">
        <is>
          <t>Code</t>
        </is>
      </c>
      <c r="G37" s="95" t="inlineStr">
        <is>
          <t>lib/evaluation/pipeline/*.ts</t>
        </is>
      </c>
      <c r="H37" s="95" t="inlineStr">
        <is>
          <t>model?: string threaded through runPass1/2/3 + runPipeline. Tested in pass1.test.ts + pipeline-e2e.test.ts</t>
        </is>
      </c>
      <c r="K37" s="95" t="inlineStr">
        <is>
          <t>Complete</t>
        </is>
      </c>
    </row>
    <row r="38">
      <c r="A38" s="95" t="n">
        <v>0</v>
      </c>
      <c r="B38" s="95" t="inlineStr">
        <is>
          <t>2.7</t>
        </is>
      </c>
      <c r="C38" s="95" t="inlineStr">
        <is>
          <t>Pipeline Hardening</t>
        </is>
      </c>
      <c r="D38" s="95" t="inlineStr">
        <is>
          <t>2.7.f</t>
        </is>
      </c>
      <c r="E38" s="95" t="inlineStr">
        <is>
          <t>Real-run CLI upgrade — artifact emission (raw, parsed, usage, quality gate)</t>
        </is>
      </c>
      <c r="F38" s="95" t="inlineStr">
        <is>
          <t>Code</t>
        </is>
      </c>
      <c r="G38" s="95" t="inlineStr">
        <is>
          <t>scripts/pipeline/run-phase2-7-real-run.ts</t>
        </is>
      </c>
      <c r="H38" s="95" t="inlineStr">
        <is>
          <t>CLI accepts --input/--title/--work-type/--model/--output-dir. Emits full artifact set.</t>
        </is>
      </c>
      <c r="K38" s="95" t="inlineStr">
        <is>
          <t>Complete</t>
        </is>
      </c>
    </row>
    <row r="39">
      <c r="A39" s="95" t="n">
        <v>0</v>
      </c>
      <c r="B39" s="95" t="inlineStr">
        <is>
          <t>2.7</t>
        </is>
      </c>
      <c r="C39" s="95" t="inlineStr">
        <is>
          <t>Evidence &amp; Closure</t>
        </is>
      </c>
      <c r="D39" s="95" t="inlineStr">
        <is>
          <t>2.7.g</t>
        </is>
      </c>
      <c r="E39" s="95" t="inlineStr">
        <is>
          <t>Fresh live evidence run — full artifact set with upgraded pipeline</t>
        </is>
      </c>
      <c r="F39" s="95" t="inlineStr">
        <is>
          <t>Evidence</t>
        </is>
      </c>
      <c r="G39" s="95" t="inlineStr">
        <is>
          <t>docs/operations/evidence/runs/</t>
        </is>
      </c>
      <c r="H39" s="95" t="inlineStr">
        <is>
          <t>quality_gate.json + pipeline_result.json + usage.json all present. Independence gate passes.</t>
        </is>
      </c>
      <c r="K39" s="95" t="inlineStr">
        <is>
          <t>Blocked (OPENAI_API_KEY)</t>
        </is>
      </c>
    </row>
    <row r="40">
      <c r="A40" s="95" t="n">
        <v>0</v>
      </c>
      <c r="B40" s="95" t="inlineStr">
        <is>
          <t>2.7</t>
        </is>
      </c>
      <c r="C40" s="95" t="inlineStr">
        <is>
          <t>Evidence &amp; Closure</t>
        </is>
      </c>
      <c r="D40" s="95" t="inlineStr">
        <is>
          <t>2.7.h</t>
        </is>
      </c>
      <c r="E40" s="95" t="inlineStr">
        <is>
          <t>Independence gate calibration — exclude manuscript-sourced phrases from n-gram check</t>
        </is>
      </c>
      <c r="F40" s="95" t="inlineStr">
        <is>
          <t>Code</t>
        </is>
      </c>
      <c r="G40" s="95" t="inlineStr">
        <is>
          <t>lib/evaluation/pipeline/qualityGate.ts</t>
        </is>
      </c>
      <c r="H40" s="95" t="inlineStr">
        <is>
          <t>Independence check no longer flags natural language convergence. Only flags actual pass-to-pass leakage.</t>
        </is>
      </c>
      <c r="K40" s="95" t="inlineStr">
        <is>
          <t>Complete</t>
        </is>
      </c>
    </row>
    <row r="41">
      <c r="A41" s="95" t="n">
        <v>0</v>
      </c>
      <c r="B41" s="95" t="inlineStr">
        <is>
          <t>2.7</t>
        </is>
      </c>
      <c r="C41" s="95" t="inlineStr">
        <is>
          <t>Evidence &amp; Closure</t>
        </is>
      </c>
      <c r="D41" s="95" t="inlineStr">
        <is>
          <t>2.7.i</t>
        </is>
      </c>
      <c r="E41" s="95" t="inlineStr">
        <is>
          <t>Phase 2.7 final closure — flip PHASE_2_7_EVALUATION_UPLIFT_CLOSURE.md to COMPLETED</t>
        </is>
      </c>
      <c r="F41" s="95" t="inlineStr">
        <is>
          <t>Governance</t>
        </is>
      </c>
      <c r="G41" s="95" t="inlineStr">
        <is>
          <t>PHASE_2_7_EVALUATION_UPLIFT_CLOSURE.md</t>
        </is>
      </c>
      <c r="H41" s="95" t="inlineStr">
        <is>
          <t>Closure doc marked COMPLETED with all evidence artifacts referenced.</t>
        </is>
      </c>
      <c r="K41" s="95" t="inlineStr">
        <is>
          <t>Pending</t>
        </is>
      </c>
    </row>
  </sheetData>
  <autoFilter ref="A1:J14"/>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964219"/>
    <outlinePr summaryBelow="1" summaryRight="1"/>
    <pageSetUpPr fitToPage="0"/>
  </sheetPr>
  <dimension ref="B2:J11"/>
  <sheetViews>
    <sheetView showFormulas="0" showGridLines="1" showRowColHeaders="1" showZeros="1" rightToLeft="0" tabSelected="0" showOutlineSymbols="1" defaultGridColor="1" view="normal" topLeftCell="F1" colorId="64" zoomScale="100" zoomScaleNormal="100" zoomScalePageLayoutView="100" workbookViewId="0">
      <pane xSplit="0" ySplit="5" topLeftCell="A6" activePane="bottomLeft" state="frozen"/>
      <selection pane="topLeft" activeCell="F1" activeCellId="0" sqref="F1"/>
      <selection pane="bottomLeft" activeCell="K5" activeCellId="0" sqref="K5"/>
    </sheetView>
  </sheetViews>
  <sheetFormatPr baseColWidth="8" defaultColWidth="8.66796875" defaultRowHeight="15" customHeight="1" zeroHeight="0" outlineLevelRow="0"/>
  <cols>
    <col width="3" customWidth="1" style="95" min="1" max="1"/>
    <col width="5" customWidth="1" style="95" min="2" max="2"/>
    <col width="30" customWidth="1" style="95" min="3" max="3"/>
    <col width="18" customWidth="1" style="95" min="4" max="4"/>
    <col width="22" customWidth="1" style="95" min="5" max="5"/>
    <col width="45" customWidth="1" style="95" min="6" max="9"/>
    <col width="10" customWidth="1" style="95" min="10" max="10"/>
  </cols>
  <sheetData>
    <row r="2" ht="30" customHeight="1" s="96">
      <c r="B2" s="175" t="inlineStr">
        <is>
          <t>Immediate Priorities — The Next Three</t>
        </is>
      </c>
    </row>
    <row r="3" ht="19.5" customHeight="1" s="96">
      <c r="B3" s="176" t="inlineStr">
        <is>
          <t>Once these three are real, everything else sits on a foundation that feels like a senior editor, not a rubric engine.</t>
        </is>
      </c>
    </row>
    <row r="5" ht="25.5" customHeight="1" s="96">
      <c r="B5" s="125" t="inlineStr">
        <is>
          <t>#</t>
        </is>
      </c>
      <c r="C5" s="125" t="inlineStr">
        <is>
          <t>Deliverable</t>
        </is>
      </c>
      <c r="D5" s="125" t="inlineStr">
        <is>
          <t>Status</t>
        </is>
      </c>
      <c r="E5" s="125" t="inlineStr">
        <is>
          <t>Depends On</t>
        </is>
      </c>
      <c r="F5" s="125" t="inlineStr">
        <is>
          <t>What</t>
        </is>
      </c>
      <c r="G5" s="125" t="inlineStr">
        <is>
          <t>Why</t>
        </is>
      </c>
      <c r="H5" s="125" t="inlineStr">
        <is>
          <t>How</t>
        </is>
      </c>
      <c r="I5" s="125" t="inlineStr">
        <is>
          <t>Done When</t>
        </is>
      </c>
      <c r="J5" s="125" t="inlineStr">
        <is>
          <t>LOE</t>
        </is>
      </c>
    </row>
    <row r="6" ht="90" customHeight="1" s="96">
      <c r="B6" s="154" t="n">
        <v>1</v>
      </c>
      <c r="C6" s="155" t="inlineStr">
        <is>
          <t>Close A6 — Report Credibility Layer</t>
        </is>
      </c>
      <c r="D6" s="143" t="inlineStr">
        <is>
          <t>Next (start immediately)</t>
        </is>
      </c>
      <c r="E6" s="143" t="inlineStr">
        <is>
          <t>Gate A5 (completed)</t>
        </is>
      </c>
      <c r="F6" s="143" t="inlineStr">
        <is>
          <t>Lock in score explanations, rubric mapping, confidence levels, and provenance on the existing report. All driven from persisted artifacts — zero recomputation.</t>
        </is>
      </c>
      <c r="G6" s="143" t="inlineStr">
        <is>
          <t>A writer who sees '8.3' without understanding why will never trust the system enough to pay for revision or packaging. Credibility is the unlock for everything downstream.</t>
        </is>
      </c>
      <c r="H6" s="143" t="inlineStr">
        <is>
          <t>Extend evaluationresultv1 content block with rubric items and credibility metadata. Render 'Why this score?' section in report UI. Artifact-only reads.</t>
        </is>
      </c>
      <c r="I6" s="143" t="inlineStr">
        <is>
          <t>Rubric breakdown, score explanations, confidence, and provenance all visible. Report loads from artifact with zero recomputation.</t>
        </is>
      </c>
      <c r="J6" s="143" t="inlineStr">
        <is>
          <t>6-8 hours</t>
        </is>
      </c>
    </row>
    <row r="7" ht="90" customHeight="1" s="96">
      <c r="B7" s="154" t="n">
        <v>2</v>
      </c>
      <c r="C7" s="155" t="inlineStr">
        <is>
          <t>Evaluation Uplift — Pass 1-4, Quality Guards, Dual Axis</t>
        </is>
      </c>
      <c r="D7" s="143" t="inlineStr">
        <is>
          <t>Next (after A6)</t>
        </is>
      </c>
      <c r="E7" s="143" t="inlineStr">
        <is>
          <t>A6 Report Credibility</t>
        </is>
      </c>
      <c r="F7" s="143" t="inlineStr">
        <is>
          <t>Dual-axis evaluation: Craft Execution + Editorial/Literary Insight. Multi-pass pipeline (structural → intent/genre → interpretive → synthesis) with quality guards.</t>
        </is>
      </c>
      <c r="G7" s="143" t="inlineStr">
        <is>
          <t>This is the psychological shift from 'grader' to 'trusted editor.' It drives repeat use, justifies pricing, and makes the trajectory + packaging products meaningful.</t>
        </is>
      </c>
      <c r="H7" s="143" t="inlineStr">
        <is>
          <t>Four-pass pipeline. Guards before persistence: no duplicated recs vs summary, no generic recs (must anchor to character/scene/event), no pretending full coverage when partial. Multi-chunk correctness.</t>
        </is>
      </c>
      <c r="I7" s="143" t="inlineStr">
        <is>
          <t>Dual-axis scores rendered. Zero generic recommendations. All recs anchored to specific text. Multi-chunk synthesis with 100% coverage or explicit partial labeling.</t>
        </is>
      </c>
      <c r="J7" s="143" t="inlineStr">
        <is>
          <t>22-30 hours (includes 2.7 + 2.8)</t>
        </is>
      </c>
    </row>
    <row r="8" ht="90" customHeight="1" s="96">
      <c r="B8" s="154" t="n">
        <v>3</v>
      </c>
      <c r="C8" s="155" t="inlineStr">
        <is>
          <t>Interactive Revision Loop (WAVE)</t>
        </is>
      </c>
      <c r="D8" s="143" t="inlineStr">
        <is>
          <t>Planned (after uplift)</t>
        </is>
      </c>
      <c r="E8" s="143" t="inlineStr">
        <is>
          <t>Evaluation Uplift + State Machine + Transition Engine</t>
        </is>
      </c>
      <c r="F8" s="143" t="inlineStr">
        <is>
          <t>For each flagged issue: show sentence, explain why problematic, offer 3 alternatives + 'edit your own,' accept/reject with progression to 'closed' document state.</t>
        </is>
      </c>
      <c r="G8" s="143" t="inlineStr">
        <is>
          <t>This is where RevisionGrade stops being a diagnostic and becomes a coach. It's the product differentiator and the scaffolding for trajectory intelligence.</t>
        </is>
      </c>
      <c r="H8" s="143" t="inlineStr">
        <is>
          <t>evaluationresultv1 + WAVE → Issue + Suggestion objects per sentence/section. Pass UI iterates issues until none remain. Persist versions for before/after ATI comparison.</t>
        </is>
      </c>
      <c r="I8" s="143" t="inlineStr">
        <is>
          <t>Full issue iteration works. Accept/reject/edit workflow functional. Document reaches 'closed' state. Version history persisted.</t>
        </is>
      </c>
      <c r="J8" s="143" t="inlineStr">
        <is>
          <t>16-24 hours</t>
        </is>
      </c>
    </row>
    <row r="11" ht="14.25" customHeight="1" s="96">
      <c r="B11" s="123" t="inlineStr">
        <is>
          <t>← Back to Overview</t>
        </is>
      </c>
    </row>
  </sheetData>
  <mergeCells count="2">
    <mergeCell ref="B3:H3"/>
    <mergeCell ref="B2:H2"/>
  </mergeCells>
  <hyperlinks>
    <hyperlink ref="B11" location="'Overview'!A1" display="← Back to Overview"/>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7A39BB"/>
    <outlinePr summaryBelow="1" summaryRight="1"/>
    <pageSetUpPr fitToPage="0"/>
  </sheetPr>
  <dimension ref="B2:H6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3" customWidth="1" style="95" min="1" max="1"/>
    <col width="40" customWidth="1" style="95" min="2" max="2"/>
    <col width="25" customWidth="1" style="95" min="3" max="3"/>
    <col width="30" customWidth="1" style="95" min="4" max="4"/>
    <col width="15" customWidth="1" style="95" min="5" max="8"/>
  </cols>
  <sheetData>
    <row r="2" ht="30" customHeight="1" s="96">
      <c r="B2" s="175" t="inlineStr">
        <is>
          <t>RevisionGrade — Canon Document Reference</t>
        </is>
      </c>
    </row>
    <row r="3" ht="15" customHeight="1" s="96">
      <c r="B3" s="176" t="inlineStr">
        <is>
          <t>Mapping between 5-volume governance canon and roadmap execution items</t>
        </is>
      </c>
    </row>
    <row r="5" ht="24" customHeight="1" s="96">
      <c r="B5" s="101" t="inlineStr">
        <is>
          <t>CANON AUTHORITY CHAIN</t>
        </is>
      </c>
    </row>
    <row r="6" ht="27.75" customHeight="1" s="96">
      <c r="B6" s="172" t="inlineStr">
        <is>
          <t>Canon III — Meta-Governance (DOMINATUS)</t>
        </is>
      </c>
      <c r="C6" s="177" t="inlineStr">
        <is>
          <t>8 governing laws. Adversarial testing required. No silent changes.</t>
        </is>
      </c>
      <c r="D6" s="170" t="n"/>
      <c r="E6" s="170" t="n"/>
      <c r="F6" s="170" t="n"/>
      <c r="G6" s="170" t="n"/>
      <c r="H6" s="170" t="n"/>
    </row>
    <row r="7" ht="27.75" customHeight="1" s="96">
      <c r="B7" s="178" t="inlineStr">
        <is>
          <t>→ Volume IV — AI Governance Canon</t>
        </is>
      </c>
      <c r="C7" s="177" t="inlineStr">
        <is>
          <t>3-layer authority model. 7 canon protection systems. 4 violation severity levels. Human review at ±20 points.</t>
        </is>
      </c>
      <c r="D7" s="170" t="n"/>
      <c r="E7" s="170" t="n"/>
      <c r="F7" s="170" t="n"/>
      <c r="G7" s="170" t="n"/>
      <c r="H7" s="170" t="n"/>
    </row>
    <row r="8" ht="27.75" customHeight="1" s="96">
      <c r="B8" s="179" t="inlineStr">
        <is>
          <t>→ Canon Doctrine Registry</t>
        </is>
      </c>
      <c r="C8" s="177" t="inlineStr">
        <is>
          <t>77 canonical doctrine units. Single source of truth. 6 registry governance rules.</t>
        </is>
      </c>
      <c r="D8" s="170" t="n"/>
      <c r="E8" s="170" t="n"/>
      <c r="F8" s="170" t="n"/>
      <c r="G8" s="170" t="n"/>
      <c r="H8" s="170" t="n"/>
    </row>
    <row r="9" ht="27.75" customHeight="1" s="96">
      <c r="B9" s="180" t="inlineStr">
        <is>
          <t>→ Canon Assembly Matrix (RCAM v2.0)</t>
        </is>
      </c>
      <c r="C9" s="177" t="inlineStr">
        <is>
          <t>24 source documents mapped to 5 volumes. 5 matrix rules. Build map.</t>
        </is>
      </c>
      <c r="D9" s="170" t="n"/>
      <c r="E9" s="170" t="n"/>
      <c r="F9" s="170" t="n"/>
      <c r="G9" s="170" t="n"/>
      <c r="H9" s="170" t="n"/>
    </row>
    <row r="10" ht="27.75" customHeight="1" s="96">
      <c r="B10" s="181" t="inlineStr">
        <is>
          <t>→ Volume II — Story Evaluation Canon</t>
        </is>
      </c>
      <c r="C10" s="177" t="inlineStr">
        <is>
          <t>13 criteria. 10 diagnostic patterns. Scoring doctrine. Evidence trail.</t>
        </is>
      </c>
      <c r="D10" s="170" t="n"/>
      <c r="E10" s="170" t="n"/>
      <c r="F10" s="170" t="n"/>
      <c r="G10" s="170" t="n"/>
      <c r="H10" s="170" t="n"/>
    </row>
    <row r="11" ht="27.75" customHeight="1" s="96">
      <c r="B11" s="182" t="inlineStr">
        <is>
          <t>→ Volume II-A — Operational Schema</t>
        </is>
      </c>
      <c r="C11" s="177" t="inlineStr">
        <is>
          <t>Machine spec. Criterion weights. WCS computation. Eligibility gates. JSON schema. Supabase tables.</t>
        </is>
      </c>
      <c r="D11" s="170" t="n"/>
      <c r="E11" s="170" t="n"/>
      <c r="F11" s="170" t="n"/>
      <c r="G11" s="170" t="n"/>
      <c r="H11" s="170" t="n"/>
    </row>
    <row r="12" ht="27.75" customHeight="1" s="96">
      <c r="B12" s="183" t="inlineStr">
        <is>
          <t>→ Volume I — WAVE Revision Canon</t>
        </is>
      </c>
      <c r="C12" s="177" t="inlineStr">
        <is>
          <t>62 waves. 3 tsunamis. 10 binding execution rules. Standard Wave Template. Velocity Bundle.</t>
        </is>
      </c>
      <c r="D12" s="170" t="n"/>
      <c r="E12" s="170" t="n"/>
      <c r="F12" s="170" t="n"/>
      <c r="G12" s="170" t="n"/>
      <c r="H12" s="170" t="n"/>
    </row>
    <row r="13" ht="27.75" customHeight="1" s="96">
      <c r="B13" s="184" t="inlineStr">
        <is>
          <t>→ Volume III — Platform Governance + Tools + Ops</t>
        </is>
      </c>
      <c r="C13" s="177" t="inlineStr">
        <is>
          <t>3 shells: WHY (doctrine) / HOW (schemas, prompts, adapters) / WHEN (thresholds, routing, pipeline).</t>
        </is>
      </c>
      <c r="D13" s="170" t="n"/>
      <c r="E13" s="170" t="n"/>
      <c r="F13" s="170" t="n"/>
      <c r="G13" s="170" t="n"/>
      <c r="H13" s="170" t="n"/>
    </row>
    <row r="14" ht="27.75" customHeight="1" s="96">
      <c r="B14" s="185" t="inlineStr">
        <is>
          <t>→ Volume V — Execution Architecture</t>
        </is>
      </c>
      <c r="C14" s="177" t="inlineStr">
        <is>
          <t>AEP 6-step flow. Trifecta Model. Chunking. Reliability. 5 certified artifact types. 12-step build sequence.</t>
        </is>
      </c>
      <c r="D14" s="170" t="n"/>
      <c r="E14" s="170" t="n"/>
      <c r="F14" s="170" t="n"/>
      <c r="G14" s="170" t="n"/>
      <c r="H14" s="170" t="n"/>
    </row>
    <row r="17" ht="24" customHeight="1" s="96">
      <c r="B17" s="101" t="inlineStr">
        <is>
          <t>KEY NUMERIC CONSTANTS (Engineering Specs)</t>
        </is>
      </c>
    </row>
    <row r="18" ht="15" customHeight="1" s="96">
      <c r="B18" s="114" t="inlineStr">
        <is>
          <t>Constant</t>
        </is>
      </c>
      <c r="C18" s="114" t="inlineStr">
        <is>
          <t>Value</t>
        </is>
      </c>
      <c r="D18" s="114" t="inlineStr">
        <is>
          <t>Source</t>
        </is>
      </c>
    </row>
    <row r="19" ht="15" customHeight="1" s="96">
      <c r="B19" s="120" t="inlineStr">
        <is>
          <t>WAVE eligibility minimum WCS</t>
        </is>
      </c>
      <c r="C19" s="119" t="inlineStr">
        <is>
          <t>7.0</t>
        </is>
      </c>
      <c r="D19" s="186" t="inlineStr">
        <is>
          <t>Vol II-A</t>
        </is>
      </c>
    </row>
    <row r="20" ht="15" customHeight="1" s="96">
      <c r="B20" s="116" t="inlineStr">
        <is>
          <t>Structural fail threshold (per criterion)</t>
        </is>
      </c>
      <c r="C20" s="115" t="inlineStr">
        <is>
          <t>5</t>
        </is>
      </c>
      <c r="D20" s="187" t="inlineStr">
        <is>
          <t>Vol II-A</t>
        </is>
      </c>
    </row>
    <row r="21" ht="15" customHeight="1" s="96">
      <c r="B21" s="120" t="inlineStr">
        <is>
          <t>Agent-ready WCS</t>
        </is>
      </c>
      <c r="C21" s="119" t="inlineStr">
        <is>
          <t>8.5</t>
        </is>
      </c>
      <c r="D21" s="186" t="inlineStr">
        <is>
          <t>Vol II-A</t>
        </is>
      </c>
    </row>
    <row r="22" ht="15" customHeight="1" s="96">
      <c r="B22" s="116" t="inlineStr">
        <is>
          <t>Market review trigger</t>
        </is>
      </c>
      <c r="C22" s="115" t="inlineStr">
        <is>
          <t>6.0</t>
        </is>
      </c>
      <c r="D22" s="187" t="inlineStr">
        <is>
          <t>Vol II-A</t>
        </is>
      </c>
    </row>
    <row r="23" ht="15" customHeight="1" s="96">
      <c r="B23" s="120" t="inlineStr">
        <is>
          <t>Score scale</t>
        </is>
      </c>
      <c r="C23" s="119" t="inlineStr">
        <is>
          <t>1-10 integer (no half-points)</t>
        </is>
      </c>
      <c r="D23" s="186" t="inlineStr">
        <is>
          <t>Vol II-A</t>
        </is>
      </c>
    </row>
    <row r="24" ht="15" customHeight="1" s="96">
      <c r="B24" s="116" t="inlineStr">
        <is>
          <t>Readiness: FOUNDATIONAL</t>
        </is>
      </c>
      <c r="C24" s="115" t="inlineStr">
        <is>
          <t>&lt;60 (100-pt scale)</t>
        </is>
      </c>
      <c r="D24" s="187" t="inlineStr">
        <is>
          <t>Vol III Ops</t>
        </is>
      </c>
    </row>
    <row r="25" ht="15" customHeight="1" s="96">
      <c r="B25" s="120" t="inlineStr">
        <is>
          <t>Readiness: DEVELOPING</t>
        </is>
      </c>
      <c r="C25" s="119" t="inlineStr">
        <is>
          <t>60-64</t>
        </is>
      </c>
      <c r="D25" s="186" t="inlineStr">
        <is>
          <t>Vol III Ops</t>
        </is>
      </c>
    </row>
    <row r="26" ht="15" customHeight="1" s="96">
      <c r="B26" s="116" t="inlineStr">
        <is>
          <t>Readiness: REFINEMENT_ELIGIBLE</t>
        </is>
      </c>
      <c r="C26" s="115" t="inlineStr">
        <is>
          <t>65-79</t>
        </is>
      </c>
      <c r="D26" s="187" t="inlineStr">
        <is>
          <t>Vol III Ops</t>
        </is>
      </c>
    </row>
    <row r="27" ht="15" customHeight="1" s="96">
      <c r="B27" s="120" t="inlineStr">
        <is>
          <t>Readiness: AGENT_READY</t>
        </is>
      </c>
      <c r="C27" s="119" t="inlineStr">
        <is>
          <t>≥80</t>
        </is>
      </c>
      <c r="D27" s="186" t="inlineStr">
        <is>
          <t>Vol III Ops</t>
        </is>
      </c>
    </row>
    <row r="28" ht="15" customHeight="1" s="96">
      <c r="B28" s="116" t="inlineStr">
        <is>
          <t>PASS1/PASS2 temperature</t>
        </is>
      </c>
      <c r="C28" s="115" t="inlineStr">
        <is>
          <t>0.3</t>
        </is>
      </c>
      <c r="D28" s="187" t="inlineStr">
        <is>
          <t>Vol III Tools</t>
        </is>
      </c>
    </row>
    <row r="29" ht="15" customHeight="1" s="96">
      <c r="B29" s="120" t="inlineStr">
        <is>
          <t>PASS3 temperature</t>
        </is>
      </c>
      <c r="C29" s="119" t="inlineStr">
        <is>
          <t>0.2</t>
        </is>
      </c>
      <c r="D29" s="186" t="inlineStr">
        <is>
          <t>Vol III Tools</t>
        </is>
      </c>
    </row>
    <row r="30" ht="15" customHeight="1" s="96">
      <c r="B30" s="116" t="inlineStr">
        <is>
          <t>PASS1/PASS2 max tokens</t>
        </is>
      </c>
      <c r="C30" s="115" t="inlineStr">
        <is>
          <t>4,000</t>
        </is>
      </c>
      <c r="D30" s="187" t="inlineStr">
        <is>
          <t>Vol III Tools</t>
        </is>
      </c>
    </row>
    <row r="31" ht="15" customHeight="1" s="96">
      <c r="B31" s="120" t="inlineStr">
        <is>
          <t>PASS3 max tokens</t>
        </is>
      </c>
      <c r="C31" s="119" t="inlineStr">
        <is>
          <t>5,000</t>
        </is>
      </c>
      <c r="D31" s="186" t="inlineStr">
        <is>
          <t>Vol III Tools</t>
        </is>
      </c>
    </row>
    <row r="32" ht="15" customHeight="1" s="96">
      <c r="B32" s="116" t="inlineStr">
        <is>
          <t>Evidence excerpt max length</t>
        </is>
      </c>
      <c r="C32" s="115" t="inlineStr">
        <is>
          <t>200 chars/criterion</t>
        </is>
      </c>
      <c r="D32" s="187" t="inlineStr">
        <is>
          <t>Vol III Tools</t>
        </is>
      </c>
    </row>
    <row r="33" ht="15" customHeight="1" s="96">
      <c r="B33" s="120" t="inlineStr">
        <is>
          <t>Recommendation max length</t>
        </is>
      </c>
      <c r="C33" s="119" t="inlineStr">
        <is>
          <t>300 chars/criterion</t>
        </is>
      </c>
      <c r="D33" s="186" t="inlineStr">
        <is>
          <t>Vol III Tools</t>
        </is>
      </c>
    </row>
    <row r="34" ht="15" customHeight="1" s="96">
      <c r="B34" s="116" t="inlineStr">
        <is>
          <t>Overview max length</t>
        </is>
      </c>
      <c r="C34" s="115" t="inlineStr">
        <is>
          <t>500 chars</t>
        </is>
      </c>
      <c r="D34" s="187" t="inlineStr">
        <is>
          <t>Vol III Tools</t>
        </is>
      </c>
    </row>
    <row r="35" ht="15" customHeight="1" s="96">
      <c r="B35" s="120" t="inlineStr">
        <is>
          <t>Soft fail: min recommendation length</t>
        </is>
      </c>
      <c r="C35" s="119" t="inlineStr">
        <is>
          <t>50 chars</t>
        </is>
      </c>
      <c r="D35" s="186" t="inlineStr">
        <is>
          <t>Vol III Tools</t>
        </is>
      </c>
    </row>
    <row r="36" ht="15" customHeight="1" s="96">
      <c r="B36" s="116" t="inlineStr">
        <is>
          <t>Soft fail: min confidence</t>
        </is>
      </c>
      <c r="C36" s="115" t="inlineStr">
        <is>
          <t>0.5</t>
        </is>
      </c>
      <c r="D36" s="187" t="inlineStr">
        <is>
          <t>Vol III Tools</t>
        </is>
      </c>
    </row>
    <row r="37" ht="15" customHeight="1" s="96">
      <c r="B37" s="120" t="inlineStr">
        <is>
          <t>Canon Gate hard fail retries</t>
        </is>
      </c>
      <c r="C37" s="119" t="inlineStr">
        <is>
          <t>3</t>
        </is>
      </c>
      <c r="D37" s="186" t="inlineStr">
        <is>
          <t>Vol III Tools</t>
        </is>
      </c>
    </row>
    <row r="38" ht="15" customHeight="1" s="96">
      <c r="B38" s="116" t="inlineStr">
        <is>
          <t>Canon Gate timeout</t>
        </is>
      </c>
      <c r="C38" s="115" t="inlineStr">
        <is>
          <t>60 seconds</t>
        </is>
      </c>
      <c r="D38" s="187" t="inlineStr">
        <is>
          <t>Vol III Tools</t>
        </is>
      </c>
    </row>
    <row r="39" ht="15" customHeight="1" s="96">
      <c r="B39" s="120" t="inlineStr">
        <is>
          <t>Minor AI disagreement</t>
        </is>
      </c>
      <c r="C39" s="119" t="inlineStr">
        <is>
          <t>±10 points (auto-resolve)</t>
        </is>
      </c>
      <c r="D39" s="186" t="inlineStr">
        <is>
          <t>Vol III Governance</t>
        </is>
      </c>
    </row>
    <row r="40" ht="15" customHeight="1" s="96">
      <c r="B40" s="116" t="inlineStr">
        <is>
          <t>Major AI disagreement (human review)</t>
        </is>
      </c>
      <c r="C40" s="115" t="inlineStr">
        <is>
          <t>±20 points</t>
        </is>
      </c>
      <c r="D40" s="187" t="inlineStr">
        <is>
          <t>Vol IV</t>
        </is>
      </c>
    </row>
    <row r="41" ht="15" customHeight="1" s="96">
      <c r="B41" s="120" t="inlineStr">
        <is>
          <t>Multi-AI agreement confidence</t>
        </is>
      </c>
      <c r="C41" s="119" t="inlineStr">
        <is>
          <t>±5 points</t>
        </is>
      </c>
      <c r="D41" s="186" t="inlineStr">
        <is>
          <t>Vol IV</t>
        </is>
      </c>
    </row>
    <row r="42" ht="15" customHeight="1" s="96">
      <c r="B42" s="116" t="inlineStr">
        <is>
          <t>Audit log retention</t>
        </is>
      </c>
      <c r="C42" s="115" t="inlineStr">
        <is>
          <t>7 years minimum</t>
        </is>
      </c>
      <c r="D42" s="187" t="inlineStr">
        <is>
          <t>Vol III Ops</t>
        </is>
      </c>
    </row>
    <row r="43" ht="15" customHeight="1" s="96">
      <c r="B43" s="120" t="inlineStr">
        <is>
          <t>Evaluation retention</t>
        </is>
      </c>
      <c r="C43" s="119" t="inlineStr">
        <is>
          <t>3 years minimum</t>
        </is>
      </c>
      <c r="D43" s="186" t="inlineStr">
        <is>
          <t>Vol III Ops</t>
        </is>
      </c>
    </row>
    <row r="44" ht="15" customHeight="1" s="96">
      <c r="B44" s="116" t="inlineStr">
        <is>
          <t>Total canonical waves</t>
        </is>
      </c>
      <c r="C44" s="115" t="inlineStr">
        <is>
          <t>62</t>
        </is>
      </c>
      <c r="D44" s="187" t="inlineStr">
        <is>
          <t>Vol I</t>
        </is>
      </c>
    </row>
    <row r="45" ht="15" customHeight="1" s="96">
      <c r="B45" s="120" t="inlineStr">
        <is>
          <t>Total tsunamis</t>
        </is>
      </c>
      <c r="C45" s="119" t="inlineStr">
        <is>
          <t>3</t>
        </is>
      </c>
      <c r="D45" s="186" t="inlineStr">
        <is>
          <t>Vol I</t>
        </is>
      </c>
    </row>
    <row r="46" ht="15" customHeight="1" s="96">
      <c r="B46" s="116" t="inlineStr">
        <is>
          <t>Canonical doctrine units</t>
        </is>
      </c>
      <c r="C46" s="115" t="inlineStr">
        <is>
          <t>77</t>
        </is>
      </c>
      <c r="D46" s="187" t="inlineStr">
        <is>
          <t>Registry</t>
        </is>
      </c>
    </row>
    <row r="47" ht="15" customHeight="1" s="96">
      <c r="B47" s="120" t="inlineStr">
        <is>
          <t>AI systems in pipeline (minimum)</t>
        </is>
      </c>
      <c r="C47" s="119" t="inlineStr">
        <is>
          <t>2</t>
        </is>
      </c>
      <c r="D47" s="186" t="inlineStr">
        <is>
          <t>Vol II-A</t>
        </is>
      </c>
    </row>
    <row r="50" ht="24" customHeight="1" s="96">
      <c r="B50" s="101" t="inlineStr">
        <is>
          <t>NON-NEGOTIABLE GOVERNANCE RULES</t>
        </is>
      </c>
    </row>
    <row r="51" ht="15" customHeight="1" s="96">
      <c r="B51" s="188" t="inlineStr">
        <is>
          <t>1.</t>
        </is>
      </c>
      <c r="C51" s="173" t="inlineStr">
        <is>
          <t>Structural failure must block cosmetic polish tools — no exceptions in Trusted Path</t>
        </is>
      </c>
      <c r="D51" s="170" t="n"/>
      <c r="E51" s="170" t="n"/>
      <c r="F51" s="170" t="n"/>
      <c r="G51" s="170" t="n"/>
      <c r="H51" s="170" t="n"/>
    </row>
    <row r="52" ht="15" customHeight="1" s="96">
      <c r="B52" s="188" t="inlineStr">
        <is>
          <t>2.</t>
        </is>
      </c>
      <c r="C52" s="173" t="inlineStr">
        <is>
          <t>Canon Gate (Pass 1.5) must execute before results surface to users — always</t>
        </is>
      </c>
      <c r="D52" s="170" t="n"/>
      <c r="E52" s="170" t="n"/>
      <c r="F52" s="170" t="n"/>
      <c r="G52" s="170" t="n"/>
      <c r="H52" s="170" t="n"/>
    </row>
    <row r="53" ht="15" customHeight="1" s="96">
      <c r="B53" s="188" t="inlineStr">
        <is>
          <t>3.</t>
        </is>
      </c>
      <c r="C53" s="173" t="inlineStr">
        <is>
          <t>Pass 2 must never receive Pass 1 outputs — independence guarantee is absolute</t>
        </is>
      </c>
      <c r="D53" s="170" t="n"/>
      <c r="E53" s="170" t="n"/>
      <c r="F53" s="170" t="n"/>
      <c r="G53" s="170" t="n"/>
      <c r="H53" s="170" t="n"/>
    </row>
    <row r="54" ht="15" customHeight="1" s="96">
      <c r="B54" s="188" t="inlineStr">
        <is>
          <t>4.</t>
        </is>
      </c>
      <c r="C54" s="173" t="inlineStr">
        <is>
          <t>Prompts must be loaded at runtime — never hardcoded</t>
        </is>
      </c>
      <c r="D54" s="170" t="n"/>
      <c r="E54" s="170" t="n"/>
      <c r="F54" s="170" t="n"/>
      <c r="G54" s="170" t="n"/>
      <c r="H54" s="170" t="n"/>
    </row>
    <row r="55" ht="15" customHeight="1" s="96">
      <c r="B55" s="188" t="inlineStr">
        <is>
          <t>5.</t>
        </is>
      </c>
      <c r="C55" s="173" t="inlineStr">
        <is>
          <t>Core logic must never call provider APIs directly — adapters only</t>
        </is>
      </c>
      <c r="D55" s="170" t="n"/>
      <c r="E55" s="170" t="n"/>
      <c r="F55" s="170" t="n"/>
      <c r="G55" s="170" t="n"/>
      <c r="H55" s="170" t="n"/>
    </row>
    <row r="56" ht="15" customHeight="1" s="96">
      <c r="B56" s="188" t="inlineStr">
        <is>
          <t>6.</t>
        </is>
      </c>
      <c r="C56" s="173" t="inlineStr">
        <is>
          <t>Audit logs are append-only and hash-chained — no DELETE or UPDATE permitted</t>
        </is>
      </c>
      <c r="D56" s="170" t="n"/>
      <c r="E56" s="170" t="n"/>
      <c r="F56" s="170" t="n"/>
      <c r="G56" s="170" t="n"/>
      <c r="H56" s="170" t="n"/>
    </row>
    <row r="57" ht="15" customHeight="1" s="96">
      <c r="B57" s="188" t="inlineStr">
        <is>
          <t>7.</t>
        </is>
      </c>
      <c r="C57" s="173" t="inlineStr">
        <is>
          <t>Audit preservation supersedes business logic in conflict scenarios</t>
        </is>
      </c>
      <c r="D57" s="170" t="n"/>
      <c r="E57" s="170" t="n"/>
      <c r="F57" s="170" t="n"/>
      <c r="G57" s="170" t="n"/>
      <c r="H57" s="170" t="n"/>
    </row>
    <row r="58" ht="15" customHeight="1" s="96">
      <c r="B58" s="188" t="inlineStr">
        <is>
          <t>8.</t>
        </is>
      </c>
      <c r="C58" s="173" t="inlineStr">
        <is>
          <t>Studio Mode outputs are non-equivalent to Trusted Path — cannot be certified without re-execution</t>
        </is>
      </c>
      <c r="D58" s="170" t="n"/>
      <c r="E58" s="170" t="n"/>
      <c r="F58" s="170" t="n"/>
      <c r="G58" s="170" t="n"/>
      <c r="H58" s="170" t="n"/>
    </row>
    <row r="59" ht="15" customHeight="1" s="96">
      <c r="B59" s="188" t="inlineStr">
        <is>
          <t>9.</t>
        </is>
      </c>
      <c r="C59" s="173" t="inlineStr">
        <is>
          <t>Canon changes require formal ChangeProposal — silent rule changes are prohibited</t>
        </is>
      </c>
      <c r="D59" s="170" t="n"/>
      <c r="E59" s="170" t="n"/>
      <c r="F59" s="170" t="n"/>
      <c r="G59" s="170" t="n"/>
      <c r="H59" s="170" t="n"/>
    </row>
    <row r="60" ht="15" customHeight="1" s="96">
      <c r="B60" s="188" t="inlineStr">
        <is>
          <t>10.</t>
        </is>
      </c>
      <c r="C60" s="173" t="inlineStr">
        <is>
          <t>No external interface goes live before Canon Gate, audit spine, and reliability controls are operational</t>
        </is>
      </c>
      <c r="D60" s="170" t="n"/>
      <c r="E60" s="170" t="n"/>
      <c r="F60" s="170" t="n"/>
      <c r="G60" s="170" t="n"/>
      <c r="H60" s="170" t="n"/>
    </row>
    <row r="63" ht="15" customHeight="1" s="96">
      <c r="B63" s="123" t="inlineStr">
        <is>
          <t>← Back to Overview</t>
        </is>
      </c>
    </row>
  </sheetData>
  <mergeCells count="24">
    <mergeCell ref="C10:H10"/>
    <mergeCell ref="C54:H54"/>
    <mergeCell ref="C55:H55"/>
    <mergeCell ref="C9:H9"/>
    <mergeCell ref="C56:H56"/>
    <mergeCell ref="C12:H12"/>
    <mergeCell ref="B5:H5"/>
    <mergeCell ref="C59:H59"/>
    <mergeCell ref="C11:H11"/>
    <mergeCell ref="C51:H51"/>
    <mergeCell ref="B50:H50"/>
    <mergeCell ref="C60:H60"/>
    <mergeCell ref="C52:H52"/>
    <mergeCell ref="C8:H8"/>
    <mergeCell ref="B3:H3"/>
    <mergeCell ref="C7:H7"/>
    <mergeCell ref="C57:H57"/>
    <mergeCell ref="C13:H13"/>
    <mergeCell ref="C53:H53"/>
    <mergeCell ref="B2:H2"/>
    <mergeCell ref="C6:H6"/>
    <mergeCell ref="C58:H58"/>
    <mergeCell ref="B17:H17"/>
    <mergeCell ref="C14:H14"/>
  </mergeCells>
  <hyperlinks>
    <hyperlink ref="B63" location="'Overview'!A1" display="← Back to Overview"/>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2026-03-18T21:09:02Z</dcterms:created>
  <dcterms:modified xmlns:dcterms="http://purl.org/dc/terms/" xmlns:xsi="http://www.w3.org/2001/XMLSchema-instance" xsi:type="dcterms:W3CDTF">2026-03-20T20:49:23Z</dcterms:modified>
  <cp:lastModifiedBy>User</cp:lastModifiedBy>
  <cp:revision>0</cp:revision>
</cp:coreProperties>
</file>