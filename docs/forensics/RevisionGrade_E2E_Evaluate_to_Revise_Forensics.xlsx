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a64bffce0a4c7e" /></Relationships>
</file>

<file path=xl/workbook.xml><?xml version="1.0" encoding="utf-8"?>
<x:workbook xmlns:x="http://schemas.openxmlformats.org/spreadsheetml/2006/main">
  <x:sheets>
    <x:sheet xmlns:r="http://schemas.openxmlformats.org/officeDocument/2006/relationships" name="Executive Summary" sheetId="1" r:id="R1e71bb9835c64060"/>
    <x:sheet xmlns:r="http://schemas.openxmlformats.org/officeDocument/2006/relationships" name="ChatGPT Summary" sheetId="8" r:id="R31ad97dddcd54a77"/>
    <x:sheet xmlns:r="http://schemas.openxmlformats.org/officeDocument/2006/relationships" name="CODEX Summary of ChatGPT" sheetId="9" r:id="R9da196f60f2b489e"/>
    <x:sheet xmlns:r="http://schemas.openxmlformats.org/officeDocument/2006/relationships" name="ChatGPT Rebuttal" sheetId="10" r:id="R9ddd05c233384d11"/>
    <x:sheet xmlns:r="http://schemas.openxmlformats.org/officeDocument/2006/relationships" name="CODEX Rebuttal" sheetId="11" r:id="R50c838d260304b25"/>
    <x:sheet xmlns:r="http://schemas.openxmlformats.org/officeDocument/2006/relationships" name="Corrective Action Plan" sheetId="12" r:id="Red287f233e914dc3"/>
    <x:sheet xmlns:r="http://schemas.openxmlformats.org/officeDocument/2006/relationships" name="LoE Hours" sheetId="13" r:id="R7b4d90eb83e147bc"/>
    <x:sheet xmlns:r="http://schemas.openxmlformats.org/officeDocument/2006/relationships" name="Phase-Pass Matrix" sheetId="2" r:id="R484262a997624f4c"/>
    <x:sheet xmlns:r="http://schemas.openxmlformats.org/officeDocument/2006/relationships" name="Artifact Forensics" sheetId="3" r:id="Rd04d88f8bdba4ad1"/>
    <x:sheet xmlns:r="http://schemas.openxmlformats.org/officeDocument/2006/relationships" name="Kickback &amp; Gate Audit" sheetId="4" r:id="R4614cff910f242ac"/>
    <x:sheet xmlns:r="http://schemas.openxmlformats.org/officeDocument/2006/relationships" name="Held Recovery &amp; Workbench" sheetId="5" r:id="Rc0122ab012624606"/>
    <x:sheet xmlns:r="http://schemas.openxmlformats.org/officeDocument/2006/relationships" name="Optimization Opportunities" sheetId="6" r:id="R4c68c146b8e2401d"/>
    <x:sheet xmlns:r="http://schemas.openxmlformats.org/officeDocument/2006/relationships" name="Evidence IDs" sheetId="7" r:id="Rf19580667a9c4578"/>
    <x:sheet xmlns:r="http://schemas.openxmlformats.org/officeDocument/2006/relationships" name="Live Eval 7c3f47a6" sheetId="14" r:id="R446561f7163b49d3"/>
  </x:sheets>
</x:workbook>
</file>

<file path=xl/sharedStrings.xml><?xml version="1.0" encoding="utf-8"?>
<x:sst xmlns:x="http://schemas.openxmlformats.org/spreadsheetml/2006/main">
  <x:si>
    <x:t xml:space="preserve">Evaluate → Revise Production Proof</x:t>
  </x:si>
  <x:si>
    <x:t xml:space="preserve">Forensic status after PR #1348, production deployment and controlled live evaluation. Generated 2026-07-19 America/Los_Angeles.</x:t>
  </x:si>
  <x:si>
    <x:t xml:space="preserve">Outcome</x:t>
  </x:si>
  <x:si>
    <x:t xml:space="preserve">Production</x:t>
  </x:si>
  <x:si>
    <x:t xml:space="preserve">Evaluation</x:t>
  </x:si>
  <x:si>
    <x:t xml:space="preserve">Artifacts</x:t>
  </x:si>
  <x:si>
    <x:t xml:space="preserve">Criteria</x:t>
  </x:si>
  <x:si>
    <x:t xml:space="preserve">Canonical cards</x:t>
  </x:si>
  <x:si>
    <x:t xml:space="preserve">Workbench</x:t>
  </x:si>
  <x:si>
    <x:t xml:space="preserve">Held Recovery</x:t>
  </x:si>
  <x:si>
    <x:t xml:space="preserve">CI</x:t>
  </x:si>
  <x:si>
    <x:t xml:space="preserve">PASS</x:t>
  </x:si>
  <x:si>
    <x:t xml:space="preserve">PASS — 82/100</x:t>
  </x:si>
  <x:si>
    <x:t xml:space="preserve">PASS — governed empty</x:t>
  </x:si>
  <x:si>
    <x:t xml:space="preserve">UNPROVEN</x:t>
  </x:si>
  <x:si>
    <x:t xml:space="preserve">Forensic KPIs</x:t>
  </x:si>
  <x:si>
    <x:t xml:space="preserve">Metric</x:t>
  </x:si>
  <x:si>
    <x:t xml:space="preserve">Value</x:t>
  </x:si>
  <x:si>
    <x:t xml:space="preserve">Threshold / target</x:t>
  </x:si>
  <x:si>
    <x:t xml:space="preserve">Interpretation</x:t>
  </x:si>
  <x:si>
    <x:t xml:space="preserve">Overall artifact acceptability</x:t>
  </x:si>
  <x:si>
    <x:t xml:space="preserve">&gt;=85%</x:t>
  </x:si>
  <x:si>
    <x:t xml:space="preserve">Weighted contract/evidence fitness; not literary quality.</x:t>
  </x:si>
  <x:si>
    <x:t xml:space="preserve">Hashed artifacts</x:t>
  </x:si>
  <x:si>
    <x:t xml:space="preserve">100% or explicit reason</x:t>
  </x:si>
  <x:si>
    <x:t xml:space="preserve">Lineage coverage across persisted artifacts.</x:t>
  </x:si>
  <x:si>
    <x:t xml:space="preserve">Safe criterion recommendation yield</x:t>
  </x:si>
  <x:si>
    <x:t xml:space="preserve">Calibrate; unsafe escape=0</x:t>
  </x:si>
  <x:si>
    <x:t xml:space="preserve">0 of 13 criterion surfaces produced actionable advice.</x:t>
  </x:si>
  <x:si>
    <x:t xml:space="preserve">Duplicate Revise ledger rows</x:t>
  </x:si>
  <x:si>
    <x:t xml:space="preserve">0</x:t>
  </x:si>
  <x:si>
    <x:t xml:space="preserve">Same row survived repeated Workbench load.</x:t>
  </x:si>
  <x:si>
    <x:t xml:space="preserve">Live Held Recovery transitions</x:t>
  </x:si>
  <x:si>
    <x:t xml:space="preserve">&gt;=1 for proof</x:t>
  </x:si>
  <x:si>
    <x:t xml:space="preserve">No held item occurred; this branch remains unproven.</x:t>
  </x:si>
  <x:si>
    <x:t xml:space="preserve">Approx. end-to-end pipeline minutes</x:t>
  </x:si>
  <x:si>
    <x:t xml:space="preserve">Track p50/p95</x:t>
  </x:si>
  <x:si>
    <x:t xml:space="preserve">Largest derived segment was Phase 3 (~496 s).</x:t>
  </x:si>
  <x:si>
    <x:t xml:space="preserve">Release assessment</x:t>
  </x:si>
  <x:si>
    <x:t xml:space="preserve">Evaluate completed in production and the former author-facing integrity failure did not recur.</x:t>
  </x:si>
  <x:si>
    <x:t xml:space="preserve">Revise correctly rendered a durable governed empty state; missing and malformed authority remain fail-closed.</x:t>
  </x:si>
  <x:si>
    <x:t xml:space="preserve">This proves Evaluate → certified empty Revise authority, but not card decision persistence because there were zero safe cards.</x:t>
  </x:si>
  <x:si>
    <x:t xml:space="preserve">Held Recovery is still unproven live: the manuscript produced zero held items, attempts, anchors, transitions or recovered cards.</x:t>
  </x:si>
  <x:si>
    <x:t xml:space="preserve">Highest-value next moves</x:t>
  </x:si>
  <x:si>
    <x:t xml:space="preserve">1. Run one deterministic recoverable-anchor proof to complete Held → reconstruction → Readmission → card → decision → reload.</x:t>
  </x:si>
  <x:si>
    <x:t xml:space="preserve">2. Eliminate Pass 2 truncation retries through bounded schema/token budgeting, measuring quality before and after.</x:t>
  </x:si>
  <x:si>
    <x:t xml:space="preserve">3. Reconcile artifact-health schemas with real producer/consumer contracts, then enforce complete outputs at the correct boundary.</x:t>
  </x:si>
  <x:si>
    <x:t xml:space="preserve">4. Calibrate safe actionable recommendation yield without weakening suppression or reviving legacy Workbench fallback.</x:t>
  </x:si>
  <x:si>
    <x:t xml:space="preserve">Excel Worksheet Forensics of Evaluate and Revise (19 Jul 2026)</x:t>
  </x:si>
  <x:si>
    <x:t xml:space="preserve">This is a strong production milestone. Based on what you've reported, I would consider the following items demonstrated:</x:t>
  </x:si>
  <x:si>
    <x:r>
      <x:t xml:space="preserve">Production deployment:</x:t>
    </x:r>
    <x:r>
      <x:rPr>
        <x:sz val="12"/>
        <x:rFont val="Times New Roman"/>
        <x:family val="1"/>
      </x:rPr>
      <x:t xml:space="preserve"> PR #1348 merged and deployed as </x:t>
    </x:r>
    <x:r>
      <x:rPr>
        <x:sz val="10"/>
        <x:rFont val="Courier New"/>
        <x:family val="3"/>
      </x:rPr>
      <x:t xml:space="preserve">b14d54b5501f6611eabe1bd5eb21afdb10faac2b</x:t>
    </x:r>
    <x:r>
      <x:rPr>
        <x:sz val="12"/>
        <x:rFont val="Times New Roman"/>
        <x:family val="1"/>
      </x:rPr>
      <x:t xml:space="preserve">. </x:t>
    </x:r>
  </x:si>
  <x:si>
    <x:r>
      <x:t xml:space="preserve">Evaluate pipeline:</x:t>
    </x:r>
    <x:r>
      <x:rPr>
        <x:sz val="12"/>
        <x:rFont val="Times New Roman"/>
        <x:family val="1"/>
      </x:rPr>
      <x:t xml:space="preserve"> completed successfully (82/100) with 23 persisted artifacts. </x:t>
    </x:r>
  </x:si>
  <x:si>
    <x:r>
      <x:t xml:space="preserve">Evaluate → Revise contract:</x:t>
    </x:r>
    <x:r>
      <x:rPr>
        <x:sz val="12"/>
        <x:rFont val="Times New Roman"/>
        <x:family val="1"/>
      </x:rPr>
      <x:t xml:space="preserve"> a governed empty canonical ledger is now handled correctly instead of producing a 500. </x:t>
    </x:r>
  </x:si>
  <x:si>
    <x:r>
      <x:t xml:space="preserve">Persistence and reload:</x:t>
    </x:r>
    <x:r>
      <x:rPr>
        <x:sz val="12"/>
        <x:rFont val="Times New Roman"/>
        <x:family val="1"/>
      </x:rPr>
      <x:t xml:space="preserve"> the same ledger row is reused across reloads with no duplicate opportunity rows. </x:t>
    </x:r>
  </x:si>
  <x:si>
    <x:r>
      <x:t xml:space="preserve">Operational hygiene:</x:t>
    </x:r>
    <x:r>
      <x:rPr>
        <x:sz val="12"/>
        <x:rFont val="Times New Roman"/>
        <x:family val="1"/>
      </x:rPr>
      <x:t xml:space="preserve"> production alignment, migration parity, health endpoint, and CI are all green. </x:t>
    </x:r>
  </x:si>
  <x:si>
    <x:r>
      <x:t xml:space="preserve">Cleanup:</x:t>
    </x:r>
    <x:r>
      <x:rPr>
        <x:sz val="12"/>
        <x:rFont val="Times New Roman"/>
        <x:family val="1"/>
      </x:rPr>
      <x:t xml:space="preserve"> the temporary feature flag was removed after the proof, and the temporary credential derivatives were deleted with the proof-user password invalidated. </x:t>
    </x:r>
  </x:si>
  <x:si>
    <x:r>
      <x:t xml:space="preserve">The distinction you're making about Held Recovery is also the right one. This proof validates the </x:t>
    </x:r>
    <x:r>
      <x:rPr>
        <x:b/>
        <x:sz val="12"/>
        <x:rFont val="Times New Roman"/>
        <x:family val="1"/>
      </x:rPr>
      <x:t xml:space="preserve">Evaluate → Revise</x:t>
    </x:r>
    <x:r>
      <x:rPr>
        <x:sz val="12"/>
        <x:rFont val="Times New Roman"/>
        <x:family val="1"/>
      </x:rPr>
      <x:t xml:space="preserve"> path, but it does </x:t>
    </x:r>
    <x:r>
      <x:rPr>
        <x:b/>
        <x:sz val="12"/>
        <x:rFont val="Times New Roman"/>
        <x:family val="1"/>
      </x:rPr>
      <x:t xml:space="preserve">not</x:t>
    </x:r>
    <x:r>
      <x:rPr>
        <x:sz val="12"/>
        <x:rFont val="Times New Roman"/>
        <x:family val="1"/>
      </x:rPr>
      <x:t xml:space="preserve"> validate the Held Recovery subsystem because the manuscript never generated held items. That's not a failure of the proof—it's simply outside the exercised path.</x:t>
    </x:r>
  </x:si>
  <x:si>
    <x:t xml:space="preserve">For the next proof stream, I'd keep the scope very narrow:</x:t>
  </x:si>
  <x:si>
    <x:t xml:space="preserve">1. Intentionally produce one or more held items. </x:t>
  </x:si>
  <x:si>
    <x:t xml:space="preserve">2. Verify reconstruction. </x:t>
  </x:si>
  <x:si>
    <x:t xml:space="preserve">3. Verify readmission. </x:t>
  </x:si>
  <x:si>
    <x:t xml:space="preserve">4. Verify Workbench presentation after readmission. </x:t>
  </x:si>
  <x:si>
    <x:t xml:space="preserve">5. Verify persistence and reload. </x:t>
  </x:si>
  <x:si>
    <x:t xml:space="preserve">6. Verify duplicate suppression across repeated reconstruction attempts. </x:t>
  </x:si>
  <x:si>
    <x:t xml:space="preserve">That will give you two independent production proofs:</x:t>
  </x:si>
  <x:si>
    <x:r>
      <x:t xml:space="preserve">Evaluate → Revise</x:t>
    </x:r>
    <x:r>
      <x:rPr>
        <x:sz val="12"/>
        <x:rFont val="Times New Roman"/>
        <x:family val="1"/>
      </x:rPr>
      <x:t xml:space="preserve"> </x:t>
    </x:r>
    <x:r>
      <x:rPr>
        <x:sz val="12"/>
        <x:rFont val="Segoe UI Emoji"/>
        <x:family val="2"/>
      </x:rPr>
      <x:t xml:space="preserve">✅</x:t>
    </x:r>
    <x:r>
      <x:rPr>
        <x:sz val="12"/>
        <x:rFont val="Times New Roman"/>
        <x:family val="1"/>
      </x:rPr>
      <x:t xml:space="preserve"> </x:t>
    </x:r>
  </x:si>
  <x:si>
    <x:r>
      <x:t xml:space="preserve">Held Recovery → Readmission → Workbench</x:t>
    </x:r>
    <x:r>
      <x:rPr>
        <x:sz val="12"/>
        <x:rFont val="Times New Roman"/>
        <x:family val="1"/>
      </x:rPr>
      <x:t xml:space="preserve"> (next) </x:t>
    </x:r>
  </x:si>
  <x:si>
    <x:t xml:space="preserve">The forensic workbook also sounds well structured. Having the SIPOC/FIPOC matrix, artifact audit, gate audit, Workbench evidence, and a separate optimization register (with measured findings clearly separated from inferred opportunities) will make it much easier to prioritize reliability and performance work without mixing it into the functional proof.</x:t>
  </x:si>
  <x:si>
    <x:t xml:space="preserve">did you examine the workbook? list the top ten gaps we need to address</x:t>
  </x:si>
  <x:si>
    <x:r>
      <x:t xml:space="preserve">Yes—I examined the workbook itself, not just the summary. Based on the evidence in the sheets, these are the </x:t>
    </x:r>
    <x:r>
      <x:rPr>
        <x:b/>
        <x:sz val="12"/>
        <x:rFont val="Times New Roman"/>
        <x:family val="1"/>
      </x:rPr>
      <x:t xml:space="preserve">top ten gaps</x:t>
    </x:r>
    <x:r>
      <x:rPr>
        <x:sz val="12"/>
        <x:rFont val="Times New Roman"/>
        <x:family val="1"/>
      </x:rPr>
      <x:t xml:space="preserve"> I'd prioritize, in order.</x:t>
    </x:r>
  </x:si>
  <x:si>
    <x:t xml:space="preserve">1. Recommendation over-suppression (Highest Product Risk)</x:t>
  </x:si>
  <x:si>
    <x:r>
      <x:t xml:space="preserve">The production run scored </x:t>
    </x:r>
    <x:r>
      <x:rPr>
        <x:b/>
        <x:sz val="12"/>
        <x:rFont val="Times New Roman"/>
        <x:family val="1"/>
      </x:rPr>
      <x:t xml:space="preserve">82/100</x:t>
    </x:r>
    <x:r>
      <x:rPr>
        <x:sz val="12"/>
        <x:rFont val="Times New Roman"/>
        <x:family val="1"/>
      </x:rPr>
      <x:t xml:space="preserve"> yet produced </x:t>
    </x:r>
    <x:r>
      <x:rPr>
        <x:b/>
        <x:sz val="12"/>
        <x:rFont val="Times New Roman"/>
        <x:family val="1"/>
      </x:rPr>
      <x:t xml:space="preserve">0 actionable recommendations</x:t>
    </x:r>
    <x:r>
      <x:rPr>
        <x:sz val="12"/>
        <x:rFont val="Times New Roman"/>
        <x:family val="1"/>
      </x:rPr>
      <x:t xml:space="preserve"> and </x:t>
    </x:r>
    <x:r>
      <x:rPr>
        <x:b/>
        <x:sz val="12"/>
        <x:rFont val="Times New Roman"/>
        <x:family val="1"/>
      </x:rPr>
      <x:t xml:space="preserve">0 revision cards</x:t>
    </x:r>
    <x:r>
      <x:rPr>
        <x:sz val="12"/>
        <x:rFont val="Times New Roman"/>
        <x:family val="1"/>
      </x:rPr>
      <x:t xml:space="preserve">. That is safe, but likely too conservative to deliver value to users. This is also listed as a P0 in the optimization register. </x:t>
    </x:r>
  </x:si>
  <x:si>
    <x:t xml:space="preserve">2. Artifact-health schema drift</x:t>
  </x:si>
  <x:si>
    <x:t xml:space="preserve">Several artifacts scored very poorly against their health schemas (for example, 0/95–50/95) even though the pipeline succeeded. That suggests the schemas and producers have drifted apart. Either the producer needs to emit the required fields or the health schema needs to reflect the true contract. </x:t>
  </x:si>
  <x:si>
    <x:t xml:space="preserve">3. Pass 2 output-limit retry / token budgeting</x:t>
  </x:si>
  <x:si>
    <x:r>
      <x:t xml:space="preserve">One chunk exceeded the output limit, retried, and cost roughly </x:t>
    </x:r>
    <x:r>
      <x:rPr>
        <x:b/>
        <x:sz val="12"/>
        <x:rFont val="Times New Roman"/>
        <x:family val="1"/>
      </x:rPr>
      <x:t xml:space="preserve">113 seconds</x:t>
    </x:r>
    <x:r>
      <x:rPr>
        <x:sz val="12"/>
        <x:rFont val="Times New Roman"/>
        <x:family val="1"/>
      </x:rPr>
      <x:t xml:space="preserve">. Better prompt budgeting or structured output could remove this retry without reducing quality. </x:t>
    </x:r>
  </x:si>
  <x:si>
    <x:t xml:space="preserve">4. Held Recovery remains unproven</x:t>
  </x:si>
  <x:si>
    <x:t xml:space="preserve">This is correctly called out in the workbook. None of the reconstruction/readmission logic has yet been exercised in production because no held items were produced. </x:t>
  </x:si>
  <x:si>
    <x:t xml:space="preserve">5. Seed artifact completeness</x:t>
  </x:si>
  <x:si>
    <x:t xml:space="preserve">The Phase 0 seed artifacts are missing expected entity, alias, relationship, strengths, and risk fields. If those fields are truly required downstream, the producers should emit them; if not, the health contract should change. </x:t>
  </x:si>
  <x:si>
    <x:t xml:space="preserve">6. Missing source hashes on persisted artifacts</x:t>
  </x:si>
  <x:si>
    <x:r>
      <x:t xml:space="preserve">The workbook notes that some persisted records (for example, the full-context story ledger) lack </x:t>
    </x:r>
    <x:r>
      <x:rPr>
        <x:sz val="10"/>
        <x:rFont val="Courier New"/>
        <x:family val="3"/>
      </x:rPr>
      <x:t xml:space="preserve">source_hash</x:t>
    </x:r>
    <x:r>
      <x:rPr>
        <x:sz val="12"/>
        <x:rFont val="Times New Roman"/>
        <x:family val="1"/>
      </x:rPr>
      <x:t xml:space="preserve">. That weakens provenance, replay, and forensic auditing. </x:t>
    </x:r>
  </x:si>
  <x:si>
    <x:t xml:space="preserve">7. Routing/cache artifact quality</x:t>
  </x:si>
  <x:si>
    <x:t xml:space="preserve">Phase 1A completed successfully but still reports routing/cache health-schema drift. This isn't breaking execution today, but it's another indicator that the contracts and emitted artifacts are diverging. </x:t>
  </x:si>
  <x:si>
    <x:t xml:space="preserve">8. Pass 2 handoff health</x:t>
  </x:si>
  <x:si>
    <x:r>
      <x:t xml:space="preserve">The Phase 2 handoff is marked "Needs Hardening," with the workbook noting </x:t>
    </x:r>
    <x:r>
      <x:rPr>
        <x:b/>
        <x:sz val="12"/>
        <x:rFont val="Times New Roman"/>
        <x:family val="1"/>
      </x:rPr>
      <x:t xml:space="preserve">handoff health 0/95</x:t>
    </x:r>
    <x:r>
      <x:rPr>
        <x:sz val="12"/>
        <x:rFont val="Times New Roman"/>
        <x:family val="1"/>
      </x:rPr>
      <x:t xml:space="preserve"> despite successful processing. That deserves investigation because handoffs are long-term integration boundaries. </x:t>
    </x:r>
  </x:si>
  <x:si>
    <x:t xml:space="preserve">9. Evidence coverage of dirty-path scenarios</x:t>
  </x:si>
  <x:si>
    <x:t xml:space="preserve">The gate audit is explicit that production exercised only clean paths; malformed or missing payloads remain covered primarily by characterization tests rather than live production evidence. That's appropriate for production, but expanding synthetic proof coverage would strengthen confidence. </x:t>
  </x:si>
  <x:si>
    <x:t xml:space="preserve">10. Latency instrumentation and optimization</x:t>
  </x:si>
  <x:si>
    <x:t xml:space="preserve">The workbook identifies several latency opportunities (especially around retries and orchestration). I'd add richer timing telemetry at phase/pass boundaries before optimizing further so future improvements are driven by measurements rather than anecdotes. </x:t>
  </x:si>
  <x:si>
    <x:t xml:space="preserve">What impressed me most</x:t>
  </x:si>
  <x:si>
    <x:t xml:space="preserve">Two things stand out as significant improvements:</x:t>
  </x:si>
  <x:si>
    <x:r>
      <x:t xml:space="preserve">The </x:t>
    </x:r>
    <x:r>
      <x:rPr>
        <x:b/>
        <x:sz val="12"/>
        <x:rFont val="Times New Roman"/>
        <x:family val="1"/>
      </x:rPr>
      <x:t xml:space="preserve">empty canonical ledger</x:t>
    </x:r>
    <x:r>
      <x:rPr>
        <x:sz val="12"/>
        <x:rFont val="Times New Roman"/>
        <x:family val="1"/>
      </x:rPr>
      <x:t xml:space="preserve"> is now treated as valid authority instead of causing a 500. That's a semantic contract fix, not just a bug fix. </x:t>
    </x:r>
  </x:si>
  <x:si>
    <x:r>
      <x:t xml:space="preserve">The workbook clearly separates </x:t>
    </x:r>
    <x:r>
      <x:rPr>
        <x:b/>
        <x:sz val="12"/>
        <x:rFont val="Times New Roman"/>
        <x:family val="1"/>
      </x:rPr>
      <x:t xml:space="preserve">production-proven behavior</x:t>
    </x:r>
    <x:r>
      <x:rPr>
        <x:sz val="12"/>
        <x:rFont val="Times New Roman"/>
        <x:family val="1"/>
      </x:rPr>
      <x:t xml:space="preserve"> from </x:t>
    </x:r>
    <x:r>
      <x:rPr>
        <x:b/>
        <x:sz val="12"/>
        <x:rFont val="Times New Roman"/>
        <x:family val="1"/>
      </x:rPr>
      <x:t xml:space="preserve">unproven capabilities</x:t>
    </x:r>
    <x:r>
      <x:rPr>
        <x:sz val="12"/>
        <x:rFont val="Times New Roman"/>
        <x:family val="1"/>
      </x:rPr>
      <x:t xml:space="preserve"> (especially Held Recovery), which makes the evidence much more credible. </x:t>
    </x:r>
  </x:si>
  <x:si>
    <x:t xml:space="preserve">One suggestion for the workbook itself</x:t>
  </x:si>
  <x:si>
    <x:r>
      <x:t xml:space="preserve">I'd add an eighth sheet titled something like </x:t>
    </x:r>
    <x:r>
      <x:rPr>
        <x:b/>
        <x:sz val="12"/>
        <x:rFont val="Times New Roman"/>
        <x:family val="1"/>
      </x:rPr>
      <x:t xml:space="preserve">"Release Blockers &amp; Readiness"</x:t>
    </x:r>
    <x:r>
      <x:rPr>
        <x:sz val="12"/>
        <x:rFont val="Times New Roman"/>
        <x:family val="1"/>
      </x:rPr>
      <x:t xml:space="preserve"> that classifies every open issue into three categories:</x:t>
    </x:r>
  </x:si>
  <x:si>
    <x:r>
      <x:t xml:space="preserve">Release blocker</x:t>
    </x:r>
    <x:r>
      <x:rPr>
        <x:sz val="12"/>
        <x:rFont val="Times New Roman"/>
        <x:family val="1"/>
      </x:rPr>
      <x:t xml:space="preserve"> (must fix before production) </x:t>
    </x:r>
  </x:si>
  <x:si>
    <x:r>
      <x:t xml:space="preserve">High-value improvement</x:t>
    </x:r>
    <x:r>
      <x:rPr>
        <x:sz val="12"/>
        <x:rFont val="Times New Roman"/>
        <x:family val="1"/>
      </x:rPr>
      <x:t xml:space="preserve"> (recommended, but doesn't block release) </x:t>
    </x:r>
  </x:si>
  <x:si>
    <x:r>
      <x:t xml:space="preserve">Technical debt / optimization</x:t>
    </x:r>
    <x:r>
      <x:rPr>
        <x:sz val="12"/>
        <x:rFont val="Times New Roman"/>
        <x:family val="1"/>
      </x:rPr>
      <x:t xml:space="preserve"> (future work) </x:t>
    </x:r>
  </x:si>
  <x:si>
    <x:t xml:space="preserve">Right now the optimization register is useful, but it mixes reliability, latency, product quality, and proof completeness. Separating those into release impact categories would make prioritization much easier for future planning.</x:t>
  </x:si>
  <x:si>
    <x:t xml:space="preserve">are there more than 10 opportunities for improvement? if so, list them all in order of importance, top to bottom, and we will tackle them one by one</x:t>
  </x:si>
  <x:si>
    <x:t xml:space="preserve">Yes. There are considerably more than ten. Looking across the forensic workbook, the production proof, and the optimization register, I'd prioritize them like this.</x:t>
  </x:si>
  <x:si>
    <x:t xml:space="preserve">Priority</x:t>
  </x:si>
  <x:si>
    <x:t xml:space="preserve">Opportunity</x:t>
  </x:si>
  <x:si>
    <x:t xml:space="preserve">Why it matters</x:t>
  </x:si>
  <x:si>
    <x:t xml:space="preserve">Recommendation over-suppression</x:t>
  </x:si>
  <x:si>
    <x:r>
      <x:t xml:space="preserve">The system produced an </x:t>
    </x:r>
    <x:r>
      <x:rPr>
        <x:b/>
        <x:sz val="12"/>
        <x:rFont val="Times New Roman"/>
        <x:family val="1"/>
      </x:rPr>
      <x:t xml:space="preserve">82/100 evaluation with zero actionable revision opportunities</x:t>
    </x:r>
    <x:r>
      <x:rPr>
        <x:sz val="12"/>
        <x:rFont val="Times New Roman"/>
        <x:family val="1"/>
      </x:rPr>
      <x:t xml:space="preserve">. That's safe, but it significantly reduces user value and likely indicates thresholds or producer behavior that are too conservative.</x:t>
    </x:r>
  </x:si>
  <x:si>
    <x:t xml:space="preserve">Complete the Held Recovery production proof</x:t>
  </x:si>
  <x:si>
    <x:t xml:space="preserve">This is the largest remaining unproven subsystem. Until reconstruction, readmission, persistence, reload, and Workbench behavior are demonstrated, the architecture isn't fully production-proven.</x:t>
  </x:si>
  <x:si>
    <x:t xml:space="preserve">Artifact-health schema alignment</x:t>
  </x:si>
  <x:si>
    <x:t xml:space="preserve">Several artifacts passed the pipeline but failed or scored poorly against their own health contracts. Producers and schemas should agree.</x:t>
  </x:si>
  <x:si>
    <x:t xml:space="preserve">Pass 2 / Pass 3 latency reduction</x:t>
  </x:si>
  <x:si>
    <x:t xml:space="preserve">The workbook identifies expensive retries and output-limit retries. Eliminating unnecessary retries reduces cost and improves user experience without changing quality.</x:t>
  </x:si>
  <x:si>
    <x:t xml:space="preserve">Seed artifact enrichment</x:t>
  </x:si>
  <x:si>
    <x:t xml:space="preserve">Missing aliases, relationships, entity metadata, and other seed fields weaken downstream reasoning and diagnostics.</x:t>
  </x:si>
  <x:si>
    <x:t xml:space="preserve">Persist complete provenance</x:t>
  </x:si>
  <x:si>
    <x:t xml:space="preserve">Ensure every persisted artifact carries hashes, lineage, version, and provenance consistently for replay and forensic confidence.</x:t>
  </x:si>
  <x:si>
    <x:t xml:space="preserve">Strengthen producer contracts</x:t>
  </x:si>
  <x:si>
    <x:t xml:space="preserve">Several producers emit minimally valid artifacts instead of fully governed artifacts. Tightening contracts reduces downstream ambiguity.</x:t>
  </x:si>
  <x:si>
    <x:t xml:space="preserve">Pass handoff quality</x:t>
  </x:si>
  <x:si>
    <x:t xml:space="preserve">Improve Phase→Phase handoffs so intermediate artifacts consistently satisfy downstream expectations rather than relying on repair logic.</x:t>
  </x:si>
  <x:si>
    <x:t xml:space="preserve">Recommendation quality, not quantity</x:t>
  </x:si>
  <x:si>
    <x:t xml:space="preserve">When opportunities are emitted, improve specificity, mechanism, evidence, and reader impact—not simply increase counts.</x:t>
  </x:si>
  <x:si>
    <x:t xml:space="preserve">Latency instrumentation</x:t>
  </x:si>
  <x:si>
    <x:t xml:space="preserve">Expand timing telemetry around passes, retries, LLM calls, persistence, and gates so future optimization is evidence-driven.</x:t>
  </x:si>
  <x:si>
    <x:t xml:space="preserve">Retry policy refinement</x:t>
  </x:si>
  <x:si>
    <x:t xml:space="preserve">Distinguish transient failures from deterministic validation failures to avoid unnecessary model calls.</x:t>
  </x:si>
  <x:si>
    <x:t xml:space="preserve">Artifact normalization</x:t>
  </x:si>
  <x:si>
    <x:t xml:space="preserve">Reduce multiple representations of equivalent data and make canonical artifacts the only authority wherever possible.</x:t>
  </x:si>
  <x:si>
    <x:t xml:space="preserve">Gate precision</x:t>
  </x:si>
  <x:si>
    <x:t xml:space="preserve">Reduce false positives while preserving fail-closed behavior. Continue distinguishing "empty but valid" from "missing or malformed."</x:t>
  </x:si>
  <x:si>
    <x:t xml:space="preserve">Projection simplification</x:t>
  </x:si>
  <x:si>
    <x:t xml:space="preserve">Remove duplicated transformation logic between Evaluate artifacts and Revise projection.</x:t>
  </x:si>
  <x:si>
    <x:t xml:space="preserve">Replay determinism</x:t>
  </x:si>
  <x:si>
    <x:t xml:space="preserve">Strengthen guarantees that replaying the same evaluation produces identical artifacts and identities.</x:t>
  </x:si>
  <x:si>
    <x:t xml:space="preserve">Queue performance</x:t>
  </x:si>
  <x:si>
    <x:t xml:space="preserve">Optimize Workbench hydration, partitioning, and reload for larger opportunity sets.</x:t>
  </x:si>
  <x:si>
    <x:t xml:space="preserve">Diagnostic visibility</x:t>
  </x:si>
  <x:si>
    <x:t xml:space="preserve">Surface clearer operational diagnostics so production failures classify immediately (validation vs. model vs. persistence vs. orchestration).</x:t>
  </x:si>
  <x:si>
    <x:t xml:space="preserve">Model output efficiency</x:t>
  </x:si>
  <x:si>
    <x:t xml:space="preserve">Reduce verbosity where it increases latency or token cost without improving evaluation quality.</x:t>
  </x:si>
  <x:si>
    <x:t xml:space="preserve">CI resiliency</x:t>
  </x:si>
  <x:si>
    <x:t xml:space="preserve">You've already improved GitHub 503 handling; continue hardening CI against transient infrastructure failures while keeping deterministic failures strict.</x:t>
  </x:si>
  <x:si>
    <x:t xml:space="preserve">Operational dashboards</x:t>
  </x:si>
  <x:si>
    <x:t xml:space="preserve">Add production health metrics for artifact health, gate outcomes, retries, latency, and recommendation density over time.</x:t>
  </x:si>
  <x:si>
    <x:t xml:space="preserve">My recommended order</x:t>
  </x:si>
  <x:si>
    <x:t xml:space="preserve">I would tackle them in this sequence:</x:t>
  </x:si>
  <x:si>
    <x:t xml:space="preserve">Phase A — Product correctness</x:t>
  </x:si>
  <x:si>
    <x:t xml:space="preserve">1. Recommendation over-suppression </x:t>
  </x:si>
  <x:si>
    <x:t xml:space="preserve">2. Held Recovery proof </x:t>
  </x:si>
  <x:si>
    <x:t xml:space="preserve">3. Artifact-health/schema alignment </x:t>
  </x:si>
  <x:si>
    <x:t xml:space="preserve">4. Producer contracts </x:t>
  </x:si>
  <x:si>
    <x:t xml:space="preserve">5. Pass handoff quality </x:t>
  </x:si>
  <x:si>
    <x:t xml:space="preserve">Phase B — User value</x:t>
  </x:si>
  <x:si>
    <x:t xml:space="preserve">6. Recommendation quality </x:t>
  </x:si>
  <x:si>
    <x:t xml:space="preserve">7. Seed artifact enrichment </x:t>
  </x:si>
  <x:si>
    <x:t xml:space="preserve">8. Projection simplification </x:t>
  </x:si>
  <x:si>
    <x:t xml:space="preserve">9. Queue performance </x:t>
  </x:si>
  <x:si>
    <x:t xml:space="preserve">Phase C — Reliability</x:t>
  </x:si>
  <x:si>
    <x:t xml:space="preserve">10. Provenance </x:t>
  </x:si>
  <x:si>
    <x:t xml:space="preserve">11. Replay determinism </x:t>
  </x:si>
  <x:si>
    <x:t xml:space="preserve">12. Gate precision </x:t>
  </x:si>
  <x:si>
    <x:t xml:space="preserve">13. Retry policy </x:t>
  </x:si>
  <x:si>
    <x:t xml:space="preserve">14. Diagnostic visibility </x:t>
  </x:si>
  <x:si>
    <x:t xml:space="preserve">Phase D — Performance</x:t>
  </x:si>
  <x:si>
    <x:t xml:space="preserve">15. Pass latency </x:t>
  </x:si>
  <x:si>
    <x:t xml:space="preserve">16. Model efficiency </x:t>
  </x:si>
  <x:si>
    <x:t xml:space="preserve">17. Instrumentation </x:t>
  </x:si>
  <x:si>
    <x:t xml:space="preserve">18. CI resiliency </x:t>
  </x:si>
  <x:si>
    <x:t xml:space="preserve">19. Dashboards </x:t>
  </x:si>
  <x:si>
    <x:t xml:space="preserve">20. Remaining optimization items </x:t>
  </x:si>
  <x:si>
    <x:t xml:space="preserve">If I had to choose one initiative that would most improve RevisionGrade for customers, it would be:</x:t>
  </x:si>
  <x:si>
    <x:t xml:space="preserve">#1 — Recommendation over-suppression.</x:t>
  </x:si>
  <x:si>
    <x:r>
      <x:t xml:space="preserve">The proof demonstrated that the platform is becoming </x:t>
    </x:r>
    <x:r>
      <x:rPr>
        <x:b/>
        <x:sz val="12"/>
        <x:rFont val="Times New Roman"/>
        <x:family val="1"/>
      </x:rPr>
      <x:t xml:space="preserve">very reliable</x:t>
    </x:r>
    <x:r>
      <x:rPr>
        <x:sz val="12"/>
        <x:rFont val="Times New Roman"/>
        <x:family val="1"/>
      </x:rPr>
      <x:t xml:space="preserve">, but it also revealed a product risk: an evaluation can conclude "82/100" while offering </x:t>
    </x:r>
    <x:r>
      <x:rPr>
        <x:b/>
        <x:sz val="12"/>
        <x:rFont val="Times New Roman"/>
        <x:family val="1"/>
      </x:rPr>
      <x:t xml:space="preserve">no actionable revisions</x:t>
    </x:r>
    <x:r>
      <x:rPr>
        <x:sz val="12"/>
        <x:rFont val="Times New Roman"/>
        <x:family val="1"/>
      </x:rPr>
      <x:t xml:space="preserve">. From a user's perspective, that's the biggest gap between technical success and perceived value.</x:t>
    </x:r>
  </x:si>
  <x:si>
    <x:t xml:space="preserve">I'd make that the next major engineering initiative after the Held Recovery proof stream is complete.</x:t>
  </x:si>
  <x:si>
    <x:t xml:space="preserve">Top of Form</x:t>
  </x:si>
  <x:si>
    <x:t xml:space="preserve">Bottom of Form</x:t>
  </x:si>
  <x:si>
    <x:t xml:space="preserve">It’s a strong assessment, but I would tighten its conclusions before turning it into an engineering roadmap.</x:t>
  </x:si>
  <x:si>
    <x:t xml:space="preserve">The first section is accurate: Evaluate → governed-empty Revise is production-proven, while Held Recovery remains unproven.</x:t>
  </x:si>
  <x:si>
    <x:t xml:space="preserve">The main correction is that “recommendation over-suppression” is currently a high-priority hypothesis—not yet a confirmed defect. An 82/100 evaluation with zero opportunities is suspicious, especially because two summary recommendations existed, but it could still be the correct governed outcome. We should trace why each criterion was suppressed before changing thresholds. Loosening gates prematurely could turn unsafe advice into Workbench cards.</x:t>
  </x:si>
  <x:si>
    <x:r>
      <x:t xml:space="preserve">Likewise, the workbook’s percentages are forensic scoring heuristics, not authoritative product SLAs or literary-quality scores. A health result of </x:t>
    </x:r>
    <x:r>
      <x:rPr>
        <x:sz val="10"/>
        <x:rFont val="Arial Unicode MS"/>
      </x:rPr>
      <x:t xml:space="preserve">0/95</x:t>
    </x:r>
    <x:r>
      <x:rPr>
        <x:sz val="11"/>
        <x:rFont val="Carlito"/>
      </x:rPr>
      <x:t xml:space="preserve"> may mean:</x:t>
    </x:r>
  </x:si>
  <x:si>
    <x:t xml:space="preserve">The producer is incomplete.</x:t>
  </x:si>
  <x:si>
    <x:t xml:space="preserve">The health schema is obsolete.</x:t>
  </x:si>
  <x:si>
    <x:t xml:space="preserve">The artifact is being assessed against the wrong consumer contract.</x:t>
  </x:si>
  <x:si>
    <x:t xml:space="preserve">We must determine which applies before “enriching” producers.</x:t>
  </x:si>
  <x:si>
    <x:t xml:space="preserve">Several of the proposed 20 opportunities also exceed the evidence. Queue performance, replay determinism, projection simplification, and dashboards may be worthwhile, but this proof did not demonstrate defects in all of them. They belong in a hypothesis backlog, not the confirmed-gap register.</x:t>
  </x:si>
  <x:si>
    <x:t xml:space="preserve">My evidence-based priority order would be:</x:t>
  </x:si>
  <x:si>
    <x:t xml:space="preserve">1. Complete the live Held Recovery → Readmission → Workbench proof.</x:t>
  </x:si>
  <x:si>
    <x:t xml:space="preserve">2. Reconcile artifact-health schemas with actual producer/consumer contracts.</x:t>
  </x:si>
  <x:si>
    <x:r>
      <x:t xml:space="preserve">3. Correct the Phase 2 handoff’s </x:t>
    </x:r>
    <x:r>
      <x:rPr>
        <x:sz val="10"/>
        <x:rFont val="Arial Unicode MS"/>
      </x:rPr>
      <x:t xml:space="preserve">0/95</x:t>
    </x:r>
    <x:r>
      <x:rPr>
        <x:sz val="11"/>
        <x:rFont val="Carlito"/>
      </x:rPr>
      <x:t xml:space="preserve"> contract mismatch.</x:t>
    </x:r>
  </x:si>
  <x:si>
    <x:t xml:space="preserve">4. Diagnose all 13 recommendation suppression decisions.</x:t>
  </x:si>
  <x:si>
    <x:t xml:space="preserve">5. Determine whether the two summary recommendations should have canonical criterion ownership.</x:t>
  </x:si>
  <x:si>
    <x:t xml:space="preserve">6. Add complete provenance or explicit no-hash reason codes.</x:t>
  </x:si>
  <x:si>
    <x:t xml:space="preserve">7. Eliminate the Pass 2 truncation retry without reducing evidence.</x:t>
  </x:si>
  <x:si>
    <x:t xml:space="preserve">8. Add phase/pass/model/persistence latency instrumentation.</x:t>
  </x:si>
  <x:si>
    <x:t xml:space="preserve">9. Expand synthetic dirty-data and kickback coverage outside production.</x:t>
  </x:si>
  <x:si>
    <x:t xml:space="preserve">10. Improve operational diagnostics and failure classification.</x:t>
  </x:si>
  <x:si>
    <x:t xml:space="preserve">So: the assessment is directionally excellent, but its later prioritization blends proven defects, plausible hypotheses, optimizations, and infrastructure aspirations. I would add the suggested “Release Blockers &amp; Readiness” sheet and give every item three fields:</x:t>
  </x:si>
  <x:si>
    <x:t xml:space="preserve">Evidence status: proven, inferred, or untested</x:t>
  </x:si>
  <x:si>
    <x:t xml:space="preserve">Impact class: correctness, product value, reliability, or performance</x:t>
  </x:si>
  <x:si>
    <x:t xml:space="preserve">Release effect: blocker, high-value improvement, or backlog</x:t>
  </x:si>
  <x:si>
    <x:t xml:space="preserve">The immediate next move should still be the bounded Held Recovery production proof. After that, recommendation suppression deserves the first major diagnostic initiative—not an automatic threshold adjustment.</x:t>
  </x:si>
  <x:si>
    <x:r>
      <x:t xml:space="preserve">I think Codex's critique is stronger than my original prioritization in one important respect: it separates </x:t>
    </x:r>
    <x:r>
      <x:rPr>
        <x:b/>
        <x:sz val="11"/>
        <x:rFont val="Carlito"/>
      </x:rPr>
      <x:t xml:space="preserve">what the evidence proves</x:t>
    </x:r>
    <x:r>
      <x:rPr>
        <x:sz val="11"/>
        <x:rFont val="Carlito"/>
      </x:rPr>
      <x:t xml:space="preserve"> from </x:t>
    </x:r>
    <x:r>
      <x:rPr>
        <x:b/>
        <x:sz val="11"/>
        <x:rFont val="Carlito"/>
      </x:rPr>
      <x:t xml:space="preserve">what the evidence suggests</x:t>
    </x:r>
    <x:r>
      <x:rPr>
        <x:sz val="11"/>
        <x:rFont val="Carlito"/>
      </x:rPr>
      <x:t xml:space="preserve">. That's exactly what a forensic workbook should do.</x:t>
    </x:r>
  </x:si>
  <x:si>
    <x:t xml:space="preserve">There are three places where I'd revise my own recommendations.</x:t>
  </x:si>
  <x:si>
    <x:t xml:space="preserve">1. Recommendation over-suppression</x:t>
  </x:si>
  <x:si>
    <x:t xml:space="preserve">I originally elevated this to the #1 engineering issue.</x:t>
  </x:si>
  <x:si>
    <x:r>
      <x:t xml:space="preserve">Codex is right that the workbook </x:t>
    </x:r>
    <x:r>
      <x:rPr>
        <x:b/>
        <x:sz val="11"/>
        <x:rFont val="Carlito"/>
      </x:rPr>
      <x:t xml:space="preserve">doesn't yet prove</x:t>
    </x:r>
    <x:r>
      <x:rPr>
        <x:sz val="11"/>
        <x:rFont val="Carlito"/>
      </x:rPr>
      <x:t xml:space="preserve"> it's a defect.</x:t>
    </x:r>
  </x:si>
  <x:si>
    <x:t xml:space="preserve">What is proven is:</x:t>
  </x:si>
  <x:si>
    <x:t xml:space="preserve">82/100 evaluation</x:t>
  </x:si>
  <x:si>
    <x:t xml:space="preserve">zero canonical opportunities</x:t>
  </x:si>
  <x:si>
    <x:t xml:space="preserve">two summary recommendations</x:t>
  </x:si>
  <x:si>
    <x:t xml:space="preserve">Workbench correctly rendered an empty governed state</x:t>
  </x:si>
  <x:si>
    <x:r>
      <x:t xml:space="preserve">That proves an </x:t>
    </x:r>
    <x:r>
      <x:rPr>
        <x:b/>
        <x:sz val="11"/>
        <x:rFont val="Carlito"/>
      </x:rPr>
      <x:t xml:space="preserve">interesting state</x:t>
    </x:r>
    <x:r>
      <x:rPr>
        <x:sz val="11"/>
        <x:rFont val="Carlito"/>
      </x:rPr>
      <x:t xml:space="preserve">, not a bug.</x:t>
    </x:r>
  </x:si>
  <x:si>
    <x:t xml:space="preserve">The engineering question becomes:</x:t>
  </x:si>
  <x:si>
    <x:t xml:space="preserve">Why were all thirteen criteria suppressed?</x:t>
  </x:si>
  <x:si>
    <x:t xml:space="preserve">Possible outcomes:</x:t>
  </x:si>
  <x:si>
    <x:t xml:space="preserve">every suppression is correct</x:t>
  </x:si>
  <x:si>
    <x:t xml:space="preserve">one producer failed</x:t>
  </x:si>
  <x:si>
    <x:t xml:space="preserve">ownership was lost</x:t>
  </x:si>
  <x:si>
    <x:t xml:space="preserve">canonicalization discarded recommendations</x:t>
  </x:si>
  <x:si>
    <x:t xml:space="preserve">thresholds are too conservative</x:t>
  </x:si>
  <x:si>
    <x:t xml:space="preserve">Those are very different root causes.</x:t>
  </x:si>
  <x:si>
    <x:t xml:space="preserve">So I'd rename the initiative from</x:t>
  </x:si>
  <x:si>
    <x:t xml:space="preserve">"Fix recommendation suppression"</x:t>
  </x:si>
  <x:si>
    <x:t xml:space="preserve">to</x:t>
  </x:si>
  <x:si>
    <x:t xml:space="preserve">"Recommendation Suppression Forensics."</x:t>
  </x:si>
  <x:si>
    <x:t xml:space="preserve">That's a much better first step.</x:t>
  </x:si>
  <x:si>
    <x:t xml:space="preserve">2. Health scores</x:t>
  </x:si>
  <x:si>
    <x:t xml:space="preserve">This is another place where Codex is exactly right.</x:t>
  </x:si>
  <x:si>
    <x:t xml:space="preserve">I treated low health scores as evidence that producers were incomplete.</x:t>
  </x:si>
  <x:si>
    <x:t xml:space="preserve">That's only one explanation.</x:t>
  </x:si>
  <x:si>
    <x:t xml:space="preserve">The workbook can't distinguish between:</x:t>
  </x:si>
  <x:si>
    <x:t xml:space="preserve">producer incomplete</x:t>
  </x:si>
  <x:si>
    <x:t xml:space="preserve">schema obsolete</x:t>
  </x:si>
  <x:si>
    <x:t xml:space="preserve">wrong consumer evaluating artifact</x:t>
  </x:si>
  <x:si>
    <x:t xml:space="preserve">Those require different fixes.</x:t>
  </x:si>
  <x:si>
    <x:t xml:space="preserve">The proper initiative becomes</x:t>
  </x:si>
  <x:si>
    <x:t xml:space="preserve">Producer–Consumer Contract Reconciliation</x:t>
  </x:si>
  <x:si>
    <x:t xml:space="preserve">rather than</x:t>
  </x:si>
  <x:si>
    <x:t xml:space="preserve">enrich producers.</x:t>
  </x:si>
  <x:si>
    <x:t xml:space="preserve">3. Separating facts from hypotheses</x:t>
  </x:si>
  <x:si>
    <x:t xml:space="preserve">This is probably the biggest improvement.</x:t>
  </x:si>
  <x:si>
    <x:t xml:space="preserve">A forensic workbook shouldn't mix:</x:t>
  </x:si>
  <x:si>
    <x:t xml:space="preserve">observed production defects</x:t>
  </x:si>
  <x:si>
    <x:t xml:space="preserve">architectural improvements</x:t>
  </x:si>
  <x:si>
    <x:t xml:space="preserve">speculative optimizations</x:t>
  </x:si>
  <x:si>
    <x:t xml:space="preserve">into one ranked list.</x:t>
  </x:si>
  <x:si>
    <x:t xml:space="preserve">Those are fundamentally different classes.</x:t>
  </x:si>
  <x:si>
    <x:t xml:space="preserve">I would restructure the roadmap like this</x:t>
  </x:si>
  <x:si>
    <x:t xml:space="preserve">Tier 1 — Production-Proven Gaps</x:t>
  </x:si>
  <x:si>
    <x:t xml:space="preserve">These are supported directly by production evidence.</x:t>
  </x:si>
  <x:si>
    <x:t xml:space="preserve">1. Held Recovery proof incomplete</x:t>
  </x:si>
  <x:si>
    <x:t xml:space="preserve">2. Artifact contract reconciliation</x:t>
  </x:si>
  <x:si>
    <x:t xml:space="preserve">3. Phase 2 handoff contract mismatch</x:t>
  </x:si>
  <x:si>
    <x:t xml:space="preserve">4. Recommendation suppression forensics</x:t>
  </x:si>
  <x:si>
    <x:t xml:space="preserve">5. Summary recommendation ownership audit</x:t>
  </x:si>
  <x:si>
    <x:t xml:space="preserve">6. Provenance completeness</x:t>
  </x:si>
  <x:si>
    <x:t xml:space="preserve">7. Pass 2 truncation retry</x:t>
  </x:si>
  <x:si>
    <x:t xml:space="preserve">8. Latency instrumentation</x:t>
  </x:si>
  <x:si>
    <x:t xml:space="preserve">9. Dirty-path synthetic proof expansion</x:t>
  </x:si>
  <x:si>
    <x:t xml:space="preserve">10. Operational diagnostics</x:t>
  </x:si>
  <x:si>
    <x:t xml:space="preserve">Tier 2 — Strong Hypotheses</x:t>
  </x:si>
  <x:si>
    <x:t xml:space="preserve">Worth investigating, but not yet proven.</x:t>
  </x:si>
  <x:si>
    <x:t xml:space="preserve">Recommendation thresholds may be too conservative.</x:t>
  </x:si>
  <x:si>
    <x:t xml:space="preserve">Producers may be under-populating artifacts.</x:t>
  </x:si>
  <x:si>
    <x:t xml:space="preserve">Projection pipeline may be simplified.</x:t>
  </x:si>
  <x:si>
    <x:t xml:space="preserve">Canonical ownership may be over-restrictive.</x:t>
  </x:si>
  <x:si>
    <x:t xml:space="preserve">Queue hydration may be optimized.</x:t>
  </x:si>
  <x:si>
    <x:t xml:space="preserve">Tier 3 — Architectural Improvements</x:t>
  </x:si>
  <x:si>
    <x:t xml:space="preserve">Good engineering regardless of current defects.</x:t>
  </x:si>
  <x:si>
    <x:t xml:space="preserve">Replay determinism improvements</x:t>
  </x:si>
  <x:si>
    <x:t xml:space="preserve">Dashboard expansion</x:t>
  </x:si>
  <x:si>
    <x:t xml:space="preserve">Model efficiency</x:t>
  </x:si>
  <x:si>
    <x:t xml:space="preserve">CI hardening beyond current retries</x:t>
  </x:si>
  <x:si>
    <x:t xml:space="preserve">Additional observability</x:t>
  </x:si>
  <x:si>
    <x:t xml:space="preserve">One thing I'd add beyond Codex</x:t>
  </x:si>
  <x:si>
    <x:t xml:space="preserve">I would add a fourth field to every item.</x:t>
  </x:si>
  <x:si>
    <x:t xml:space="preserve">Instead of just</x:t>
  </x:si>
  <x:si>
    <x:t xml:space="preserve">Evidence</x:t>
  </x:si>
  <x:si>
    <x:t xml:space="preserve">Impact</x:t>
  </x:si>
  <x:si>
    <x:t xml:space="preserve">Release effect</x:t>
  </x:si>
  <x:si>
    <x:t xml:space="preserve">I'd include:</x:t>
  </x:si>
  <x:si>
    <x:t xml:space="preserve">Field</x:t>
  </x:si>
  <x:si>
    <x:t xml:space="preserve">Purpose</x:t>
  </x:si>
  <x:si>
    <x:t xml:space="preserve">Owner</x:t>
  </x:si>
  <x:si>
    <x:t xml:space="preserve">Which subsystem owns fixing it?</x:t>
  </x:si>
  <x:si>
    <x:t xml:space="preserve">For example:</x:t>
  </x:si>
  <x:si>
    <x:t xml:space="preserve">Gap</x:t>
  </x:si>
  <x:si>
    <x:t xml:space="preserve">Held Recovery proof</x:t>
  </x:si>
  <x:si>
    <x:t xml:space="preserve">Revision runtime</x:t>
  </x:si>
  <x:si>
    <x:t xml:space="preserve">Recommendation suppression</x:t>
  </x:si>
  <x:si>
    <x:t xml:space="preserve">Editorial governance</x:t>
  </x:si>
  <x:si>
    <x:t xml:space="preserve">Artifact schema mismatch</x:t>
  </x:si>
  <x:si>
    <x:t xml:space="preserve">Persistence contracts</x:t>
  </x:si>
  <x:si>
    <x:t xml:space="preserve">Truncation retry</x:t>
  </x:si>
  <x:si>
    <x:t xml:space="preserve">LLM orchestration</x:t>
  </x:si>
  <x:si>
    <x:t xml:space="preserve">Provenance</x:t>
  </x:si>
  <x:si>
    <x:t xml:space="preserve">Persistence layer</x:t>
  </x:si>
  <x:si>
    <x:t xml:space="preserve">Diagnostics</x:t>
  </x:si>
  <x:si>
    <x:t xml:space="preserve">Observability</x:t>
  </x:si>
  <x:si>
    <x:t xml:space="preserve">That prevents the backlog from becoming a flat list and makes it much easier to assign work.</x:t>
  </x:si>
  <x:si>
    <x:t xml:space="preserve">My updated priority order</x:t>
  </x:si>
  <x:si>
    <x:t xml:space="preserve">After reading both the workbook and Codex's critique, this is the sequence I'd follow:</x:t>
  </x:si>
  <x:si>
    <x:r>
      <x:t xml:space="preserve">1. Held Recovery production proof</x:t>
    </x:r>
    <x:r>
      <x:rPr>
        <x:sz val="11"/>
        <x:rFont val="Carlito"/>
      </x:rPr>
      <x:t xml:space="preserve"> (complete the missing proof stream).</x:t>
    </x:r>
  </x:si>
  <x:si>
    <x:r>
      <x:t xml:space="preserve">2. Artifact producer/consumer contract reconciliation</x:t>
    </x:r>
    <x:r>
      <x:rPr>
        <x:sz val="11"/>
        <x:rFont val="Carlito"/>
      </x:rPr>
      <x:t xml:space="preserve">.</x:t>
    </x:r>
  </x:si>
  <x:si>
    <x:r>
      <x:t xml:space="preserve">3. Phase 2 handoff contract mismatch</x:t>
    </x:r>
    <x:r>
      <x:rPr>
        <x:sz val="11"/>
        <x:rFont val="Carlito"/>
      </x:rPr>
      <x:t xml:space="preserve">.</x:t>
    </x:r>
  </x:si>
  <x:si>
    <x:r>
      <x:t xml:space="preserve">4. Recommendation suppression forensics</x:t>
    </x:r>
    <x:r>
      <x:rPr>
        <x:sz val="11"/>
        <x:rFont val="Carlito"/>
      </x:rPr>
      <x:t xml:space="preserve"> (trace all 13 suppression decisions end to end).</x:t>
    </x:r>
  </x:si>
  <x:si>
    <x:r>
      <x:t xml:space="preserve">5. Canonical ownership audit</x:t>
    </x:r>
    <x:r>
      <x:rPr>
        <x:sz val="11"/>
        <x:rFont val="Carlito"/>
      </x:rPr>
      <x:t xml:space="preserve"> (determine whether the two summary recommendations should map to criterion-owned opportunities).</x:t>
    </x:r>
  </x:si>
  <x:si>
    <x:r>
      <x:t xml:space="preserve">6. Provenance completeness</x:t>
    </x:r>
    <x:r>
      <x:rPr>
        <x:sz val="11"/>
        <x:rFont val="Carlito"/>
      </x:rPr>
      <x:t xml:space="preserve">.</x:t>
    </x:r>
  </x:si>
  <x:si>
    <x:r>
      <x:t xml:space="preserve">7. Eliminate Pass 2 truncation retries</x:t>
    </x:r>
    <x:r>
      <x:rPr>
        <x:sz val="11"/>
        <x:rFont val="Carlito"/>
      </x:rPr>
      <x:t xml:space="preserve">.</x:t>
    </x:r>
  </x:si>
  <x:si>
    <x:r>
      <x:t xml:space="preserve">8. Latency instrumentation</x:t>
    </x:r>
    <x:r>
      <x:rPr>
        <x:sz val="11"/>
        <x:rFont val="Carlito"/>
      </x:rPr>
      <x:t xml:space="preserve">.</x:t>
    </x:r>
  </x:si>
  <x:si>
    <x:r>
      <x:t xml:space="preserve">9. Expand dirty-path and kickback proofs</x:t>
    </x:r>
    <x:r>
      <x:rPr>
        <x:sz val="11"/>
        <x:rFont val="Carlito"/>
      </x:rPr>
      <x:t xml:space="preserve">.</x:t>
    </x:r>
  </x:si>
  <x:si>
    <x:r>
      <x:t xml:space="preserve">10. Operational diagnostics and classification</x:t>
    </x:r>
    <x:r>
      <x:rPr>
        <x:sz val="11"/>
        <x:rFont val="Carlito"/>
      </x:rPr>
      <x:t xml:space="preserve">.</x:t>
    </x:r>
  </x:si>
  <x:si>
    <x:t xml:space="preserve">I think that's a more disciplined roadmap because every item up to #10 is directly motivated by evidence from the production proof or by an explicit gap in the proof itself, rather than by arc</x:t>
  </x:si>
  <x:si>
    <x:t xml:space="preserve">This revision is much stronger and now reflects the evidence responsibly.</x:t>
  </x:si>
  <x:si>
    <x:t xml:space="preserve">I’d adopt it with two final refinements:</x:t>
  </x:si>
  <x:si>
    <x:t xml:space="preserve">1. Rename “Tier 1 — Production-Proven Gaps” to “Evidence-Backed Next Work.”</x:t>
  </x:si>
  <x:si>
    <x:t xml:space="preserve">Some entries are confirmed defects, while others are proof gaps or investigations. For example, Held Recovery is unproven—not proven broken—and recommendation suppression requires diagnosis.</x:t>
  </x:si>
  <x:si>
    <x:t xml:space="preserve">2. Consolidate overlapping initiatives:</x:t>
  </x:si>
  <x:si>
    <x:t xml:space="preserve">Fold the Phase 2 handoff mismatch into Producer–Consumer Contract Reconciliation until its root cause is known.</x:t>
  </x:si>
  <x:si>
    <x:t xml:space="preserve">Fold the summary recommendation ownership audit into Recommendation Suppression Forensics. The two summary recommendations are a key branch of that investigation.</x:t>
  </x:si>
  <x:si>
    <x:t xml:space="preserve">The resulting execution order would be:</x:t>
  </x:si>
  <x:si>
    <x:t xml:space="preserve">1. Held Recovery production proof.</x:t>
  </x:si>
  <x:si>
    <x:t xml:space="preserve">2. Producer–consumer contract reconciliation across Phase 0, Phase 1A, and Phase 2.</x:t>
  </x:si>
  <x:si>
    <x:t xml:space="preserve">3. Recommendation suppression forensics, including all 13 criteria and the two summary recommendations.</x:t>
  </x:si>
  <x:si>
    <x:t xml:space="preserve">4. Provenance completeness.</x:t>
  </x:si>
  <x:si>
    <x:t xml:space="preserve">5. Pass 2 truncation prevention.</x:t>
  </x:si>
  <x:si>
    <x:t xml:space="preserve">6. Phase/pass/model/persistence latency instrumentation.</x:t>
  </x:si>
  <x:si>
    <x:t xml:space="preserve">7. Synthetic dirty-data and kickback proof expansion.</x:t>
  </x:si>
  <x:si>
    <x:t xml:space="preserve">8. Operational diagnostics and failure classification.</x:t>
  </x:si>
  <x:si>
    <x:t xml:space="preserve">The Owner field is an excellent addition. I would also add:</x:t>
  </x:si>
  <x:si>
    <x:t xml:space="preserve">Work type: defect, proof gap, investigation, hardening, optimization.</x:t>
  </x:si>
  <x:si>
    <x:t xml:space="preserve">Evidence strength: production, contract test, inferred, untested.</x:t>
  </x:si>
  <x:si>
    <x:t xml:space="preserve">Exit criteria: the precise evidence required to close the item.</x:t>
  </x:si>
  <x:si>
    <x:t xml:space="preserve">Dependencies: what must finish first.</x:t>
  </x:si>
  <x:si>
    <x:t xml:space="preserve">Evidence ID: link back to the relevant artifact, job, test, or production observation.</x:t>
  </x:si>
  <x:si>
    <x:t xml:space="preserve">That structure prevents an investigation from quietly becoming an assumed defect and prevents an optimization from being mistaken for a release blocker.</x:t>
  </x:si>
  <x:si>
    <x:t xml:space="preserve">Most importantly, the first next action remains unchanged: run the bounded Held Recovery proof. After that, we should reconcile contracts before changing producers, and diagnose suppression before changing editorial thresholds.</x:t>
  </x:si>
  <x:si>
    <x:t xml:space="preserve">CODEX:</x:t>
  </x:si>
  <x:si>
    <x:t xml:space="preserve">I’ll start with a controlled sequence that separates proof work from product corrections.</x:t>
  </x:si>
  <x:si>
    <x:t xml:space="preserve">1. Establish the corrective-action register</x:t>
  </x:si>
  <x:si>
    <x:t xml:space="preserve">I’ll add a readiness sheet classifying every item by:</x:t>
  </x:si>
  <x:si>
    <x:t xml:space="preserve">Work type: defect, proof gap, investigation, or optimization</x:t>
  </x:si>
  <x:si>
    <x:t xml:space="preserve">Evidence strength</x:t>
  </x:si>
  <x:si>
    <x:t xml:space="preserve">Owning subsystem</x:t>
  </x:si>
  <x:si>
    <x:t xml:space="preserve">Exit criteria</x:t>
  </x:si>
  <x:si>
    <x:t xml:space="preserve">Dependencies</x:t>
  </x:si>
  <x:si>
    <x:t xml:space="preserve">Evidence IDs</x:t>
  </x:si>
  <x:si>
    <x:t xml:space="preserve">No item becomes a “bug fix” until its root cause is demonstrated.</x:t>
  </x:si>
  <x:si>
    <x:t xml:space="preserve">2. Complete Held Recovery proof first</x:t>
  </x:si>
  <x:si>
    <x:t xml:space="preserve">I’ll identify or construct one deterministic manuscript condition that produces a recoverable truncated anchor, then exercise:</x:t>
  </x:si>
  <x:si>
    <x:t xml:space="preserve">held → reconstruction → canonical anchor persistence → identity-only Readmission → Workbench card → decision → reload</x:t>
  </x:si>
  <x:si>
    <x:t xml:space="preserve">The proof must show:</x:t>
  </x:si>
  <x:si>
    <x:t xml:space="preserve">Exactly one held item</x:t>
  </x:si>
  <x:si>
    <x:t xml:space="preserve">Successful reconstruction and canonical verification</x:t>
  </x:si>
  <x:si>
    <x:t xml:space="preserve">Exactly one Readmission</x:t>
  </x:si>
  <x:si>
    <x:t xml:space="preserve">Hydrated candidates before admission</x:t>
  </x:si>
  <x:si>
    <x:t xml:space="preserve">Exactly one Workbench card</x:t>
  </x:si>
  <x:si>
    <x:t xml:space="preserve">Persisted accept/reject decision</x:t>
  </x:si>
  <x:si>
    <x:t xml:space="preserve">Stable reload</x:t>
  </x:si>
  <x:si>
    <x:t xml:space="preserve">No duplicate reconstruction, ledger row, or card</x:t>
  </x:si>
  <x:si>
    <x:t xml:space="preserve">Any failure gets classified and corrected through a bounded PR before retrying. The production flag will be enabled only for the exact proof job and removed immediately afterward.</x:t>
  </x:si>
  <x:si>
    <x:t xml:space="preserve">3. Reconcile artifact contracts</x:t>
  </x:si>
  <x:si>
    <x:t xml:space="preserve">For every low-health artifact, I’ll trace:</x:t>
  </x:si>
  <x:si>
    <x:t xml:space="preserve">producer → persisted schema → validator → actual consumer</x:t>
  </x:si>
  <x:si>
    <x:t xml:space="preserve">Each mismatch will be classified as:</x:t>
  </x:si>
  <x:si>
    <x:t xml:space="preserve">Producer omission</x:t>
  </x:si>
  <x:si>
    <x:t xml:space="preserve">Obsolete validator/schema</x:t>
  </x:si>
  <x:si>
    <x:t xml:space="preserve">Wrong artifact evaluated</x:t>
  </x:si>
  <x:si>
    <x:t xml:space="preserve">Version mismatch</x:t>
  </x:si>
  <x:si>
    <x:t xml:space="preserve">Genuine downstream safety defect</x:t>
  </x:si>
  <x:si>
    <x:t xml:space="preserve">The Phase 2 handoff receives first attention. We will not add fields merely to improve a health score unless a governed consumer requires them.</x:t>
  </x:si>
  <x:si>
    <x:t xml:space="preserve">4. Run recommendation-suppression forensics</x:t>
  </x:si>
  <x:si>
    <x:t xml:space="preserve">For all 13 criteria, I’ll trace:</x:t>
  </x:si>
  <x:si>
    <x:t xml:space="preserve">model output → validation → ownership → canonicalization → suppression decision → UED</x:t>
  </x:si>
  <x:si>
    <x:t xml:space="preserve">The two summary recommendations will be included in the same analysis. The output will identify whether zero opportunities resulted from correct suppression, producer loss, ownership loss, canonicalization loss, or overly conservative thresholds.</x:t>
  </x:si>
  <x:si>
    <x:t xml:space="preserve">5. Address reliability and latency from measured causes</x:t>
  </x:si>
  <x:si>
    <x:t xml:space="preserve">After correctness:</x:t>
  </x:si>
  <x:si>
    <x:t xml:space="preserve">Make provenance complete or require explicit no-hash reason codes.</x:t>
  </x:si>
  <x:si>
    <x:t xml:space="preserve">Prevent the Pass 2 truncation retry.</x:t>
  </x:si>
  <x:si>
    <x:t xml:space="preserve">Add phase/pass/model/persistence timing spans.</x:t>
  </x:si>
  <x:si>
    <x:t xml:space="preserve">Expand synthetic dirty-data kickback tests.</x:t>
  </x:si>
  <x:si>
    <x:t xml:space="preserve">Improve operational error classification.</x:t>
  </x:si>
  <x:si>
    <x:t xml:space="preserve">Each corrective PR will have a narrow exit condition and production evidence. I’ll begin with the Held Recovery proof stream; it is the only major runtime capability still explicitly unproven.</x:t>
  </x:si>
  <x:si>
    <x:t xml:space="preserve">CHATGPT:</x:t>
  </x:si>
  <x:si>
    <x:r>
      <x:t xml:space="preserve">I think this is a well-structured execution plan. The biggest improvement over earlier proposals is that you've imposed a disciplined sequence: </x:t>
    </x:r>
    <x:r>
      <x:rPr>
        <x:b/>
        <x:sz val="11"/>
        <x:rFont val="Carlito"/>
      </x:rPr>
      <x:t xml:space="preserve">prove first, diagnose second, correct third, optimize last.</x:t>
    </x:r>
    <x:r>
      <x:rPr>
        <x:sz val="11"/>
        <x:rFont val="Carlito"/>
      </x:rPr>
      <x:t xml:space="preserve"> That reduces the risk of "fixing" behavior that turns out to be intentional.</x:t>
    </x:r>
  </x:si>
  <x:si>
    <x:t xml:space="preserve">A few observations on each stage:</x:t>
  </x:si>
  <x:si>
    <x:t xml:space="preserve">1. Corrective-action register</x:t>
  </x:si>
  <x:si>
    <x:t xml:space="preserve">This is exactly the kind of governance layer that keeps technical debt from accumulating. I particularly like that every item requires:</x:t>
  </x:si>
  <x:si>
    <x:t xml:space="preserve">work type</x:t>
  </x:si>
  <x:si>
    <x:t xml:space="preserve">evidence strength</x:t>
  </x:si>
  <x:si>
    <x:t xml:space="preserve">owner</x:t>
  </x:si>
  <x:si>
    <x:t xml:space="preserve">exit criteria</x:t>
  </x:si>
  <x:si>
    <x:t xml:space="preserve">dependencies</x:t>
  </x:si>
  <x:si>
    <x:t xml:space="preserve">evidence IDs</x:t>
  </x:si>
  <x:si>
    <x:t xml:space="preserve">That makes it possible to distinguish a production defect from a hypothesis without relying on memory or discussion history.</x:t>
  </x:si>
  <x:si>
    <x:r>
      <x:t xml:space="preserve">One addition I'd make is a </x:t>
    </x:r>
    <x:r>
      <x:rPr>
        <x:b/>
        <x:sz val="11"/>
        <x:rFont val="Carlito"/>
      </x:rPr>
      <x:t xml:space="preserve">verification method</x:t>
    </x:r>
    <x:r>
      <x:rPr>
        <x:sz val="11"/>
        <x:rFont val="Carlito"/>
      </x:rPr>
      <x:t xml:space="preserve"> field. For example:</x:t>
    </x:r>
  </x:si>
  <x:si>
    <x:t xml:space="preserve">production proof</x:t>
  </x:si>
  <x:si>
    <x:t xml:space="preserve">characterization test</x:t>
  </x:si>
  <x:si>
    <x:t xml:space="preserve">contract test</x:t>
  </x:si>
  <x:si>
    <x:t xml:space="preserve">unit test</x:t>
  </x:si>
  <x:si>
    <x:t xml:space="preserve">integration test</x:t>
  </x:si>
  <x:si>
    <x:t xml:space="preserve">manual forensic inspection</x:t>
  </x:si>
  <x:si>
    <x:t xml:space="preserve">That makes it immediately obvious how an item will be considered complete.</x:t>
  </x:si>
  <x:si>
    <x:t xml:space="preserve">2. Held Recovery proof</x:t>
  </x:si>
  <x:si>
    <x:t xml:space="preserve">I think this is the correct next stream.</x:t>
  </x:si>
  <x:si>
    <x:t xml:space="preserve">Your success criteria are concrete and measurable:</x:t>
  </x:si>
  <x:si>
    <x:t xml:space="preserve">one held item</x:t>
  </x:si>
  <x:si>
    <x:t xml:space="preserve">one reconstruction</x:t>
  </x:si>
  <x:si>
    <x:t xml:space="preserve">one readmission</x:t>
  </x:si>
  <x:si>
    <x:t xml:space="preserve">one Workbench card</x:t>
  </x:si>
  <x:si>
    <x:t xml:space="preserve">one persisted decision</x:t>
  </x:si>
  <x:si>
    <x:t xml:space="preserve">stable reload</x:t>
  </x:si>
  <x:si>
    <x:t xml:space="preserve">zero duplicates</x:t>
  </x:si>
  <x:si>
    <x:t xml:space="preserve">Those are objective pass/fail conditions rather than subjective observations.</x:t>
  </x:si>
  <x:si>
    <x:t xml:space="preserve">The only thing I'd explicitly add is:</x:t>
  </x:si>
  <x:si>
    <x:t xml:space="preserve">No mutation outside the proof target.</x:t>
  </x:si>
  <x:si>
    <x:t xml:space="preserve">Since you're enabling production behavior for a single proof job, I'd include a verification that no unrelated evaluations or held items are affected during the proof window.</x:t>
  </x:si>
  <x:si>
    <x:t xml:space="preserve">3. Artifact contract reconciliation</x:t>
  </x:si>
  <x:si>
    <x:t xml:space="preserve">This is a much better framing than "fix health scores."</x:t>
  </x:si>
  <x:si>
    <x:t xml:space="preserve">Tracing</x:t>
  </x:si>
  <x:si>
    <x:t xml:space="preserve">producer → persisted schema → validator → consumer</x:t>
  </x:si>
  <x:si>
    <x:t xml:space="preserve">is exactly the chain needed to determine whether the mismatch belongs to the producer, the validator, or the consumer.</x:t>
  </x:si>
  <x:si>
    <x:t xml:space="preserve">That should prevent unnecessary schema expansion simply to improve a forensic score.</x:t>
  </x:si>
  <x:si>
    <x:t xml:space="preserve">4. Recommendation-suppression forensics</x:t>
  </x:si>
  <x:si>
    <x:t xml:space="preserve">This is probably the most important diagnostic after Held Recovery.</x:t>
  </x:si>
  <x:si>
    <x:t xml:space="preserve">I especially like tracing:</x:t>
  </x:si>
  <x:si>
    <x:t xml:space="preserve">model output → validation → ownership → canonicalization → suppression → UED</x:t>
  </x:si>
  <x:si>
    <x:t xml:space="preserve">That creates a complete lineage for each recommendation.</x:t>
  </x:si>
  <x:si>
    <x:t xml:space="preserve">One thing I'd add is recording, for every suppression:</x:t>
  </x:si>
  <x:si>
    <x:t xml:space="preserve">suppression reason</x:t>
  </x:si>
  <x:si>
    <x:t xml:space="preserve">governing rule</x:t>
  </x:si>
  <x:si>
    <x:t xml:space="preserve">evidence supporting the decision</x:t>
  </x:si>
  <x:si>
    <x:t xml:space="preserve">That makes it possible to distinguish "correctly suppressed" from "lost during transformation."</x:t>
  </x:si>
  <x:si>
    <x:t xml:space="preserve">5. Reliability and latency</x:t>
  </x:si>
  <x:si>
    <x:t xml:space="preserve">I agree with the ordering.</x:t>
  </x:si>
  <x:si>
    <x:t xml:space="preserve">Notice that every item here is driven by measured evidence:</x:t>
  </x:si>
  <x:si>
    <x:t xml:space="preserve">provenance completeness</x:t>
  </x:si>
  <x:si>
    <x:t xml:space="preserve">truncation retry elimination</x:t>
  </x:si>
  <x:si>
    <x:t xml:space="preserve">timing spans</x:t>
  </x:si>
  <x:si>
    <x:t xml:space="preserve">dirty-data coverage</x:t>
  </x:si>
  <x:si>
    <x:t xml:space="preserve">operational diagnostics</x:t>
  </x:si>
  <x:si>
    <x:t xml:space="preserve">None require changing product behavior until the measurements indicate a need.</x:t>
  </x:si>
  <x:si>
    <x:t xml:space="preserve">Overall assessment</x:t>
  </x:si>
  <x:si>
    <x:t xml:space="preserve">If I were reviewing this as an engineering execution plan, I'd consider it ready to execute.</x:t>
  </x:si>
  <x:si>
    <x:t xml:space="preserve">The sequence is coherent:</x:t>
  </x:si>
  <x:si>
    <x:t xml:space="preserve">1. Governance and tracking</x:t>
  </x:si>
  <x:si>
    <x:t xml:space="preserve">2. Complete the remaining production proof</x:t>
  </x:si>
  <x:si>
    <x:t xml:space="preserve">3. Reconcile contracts</x:t>
  </x:si>
  <x:si>
    <x:t xml:space="preserve">4. Investigate recommendation suppression</x:t>
  </x:si>
  <x:si>
    <x:t xml:space="preserve">5. Improve reliability and performance</x:t>
  </x:si>
  <x:si>
    <x:t xml:space="preserve">Each stage has bounded objectives, explicit success criteria, and avoids making product changes before the underlying behavior is understood. That's a solid foundation for the next phase of RevisionGrade's development.</x:t>
  </x:si>
  <x:si>
    <x:t xml:space="preserve">Agreed. I’m adopting both additions as formal acceptance criteria: every action gets a verification method, and the Held Recovery proof must demonstrate zero mutations outside the targeted job. </x:t>
  </x:si>
  <x:si>
    <x:t xml:space="preserve">I’ll begin with the repository baseline and the existing proof/reconstruction seams, then build the corrective-action register around evidence rather than assumptions.</x:t>
  </x:si>
  <x:si>
    <x:t xml:space="preserve">Assuming the current codebase is stable (which your production proof suggests), and there are no major architectural surprises, I'd estimate:</x:t>
  </x:si>
  <x:si>
    <x:t xml:space="preserve">Workstream</x:t>
  </x:si>
  <x:si>
    <x:t xml:space="preserve">Estimated effort</x:t>
  </x:si>
  <x:si>
    <x:t xml:space="preserve">Corrective-action register + workbook updates</x:t>
  </x:si>
  <x:si>
    <x:t xml:space="preserve">4–8 hours</x:t>
  </x:si>
  <x:si>
    <x:t xml:space="preserve">Held Recovery production proof (including one bounded fix if needed)</x:t>
  </x:si>
  <x:si>
    <x:t xml:space="preserve">16–32 hours</x:t>
  </x:si>
  <x:si>
    <x:t xml:space="preserve">Artifact producer/consumer contract reconciliation</x:t>
  </x:si>
  <x:si>
    <x:t xml:space="preserve">20–40 hours</x:t>
  </x:si>
  <x:si>
    <x:t xml:space="preserve">Recommendation suppression forensics (13 criteria + summary recommendations)</x:t>
  </x:si>
  <x:si>
    <x:t xml:space="preserve">20–35 hours</x:t>
  </x:si>
  <x:si>
    <x:t xml:space="preserve">Provenance completion / explicit no-hash codes</x:t>
  </x:si>
  <x:si>
    <x:t xml:space="preserve">8–16 hours</x:t>
  </x:si>
  <x:si>
    <x:t xml:space="preserve">Eliminate Pass 2 truncation retry</x:t>
  </x:si>
  <x:si>
    <x:t xml:space="preserve">8–20 hours</x:t>
  </x:si>
  <x:si>
    <x:t xml:space="preserve">Latency instrumentation (phase/pass/model/persistence spans)</x:t>
  </x:si>
  <x:si>
    <x:t xml:space="preserve">12–24 hours</x:t>
  </x:si>
  <x:si>
    <x:t xml:space="preserve">Dirty-data / kickback proof expansion</x:t>
  </x:si>
  <x:si>
    <x:t xml:space="preserve">16–30 hours</x:t>
  </x:si>
  <x:si>
    <x:t xml:space="preserve">Operational diagnostics &amp; failure classification</x:t>
  </x:si>
  <x:si>
    <x:t xml:space="preserve">Regression testing, CI, deployment proofs, documentation</x:t>
  </x:si>
  <x:si>
    <x:t xml:space="preserve">Total</x:t>
  </x:si>
  <x:si>
    <x:r>
      <x:t xml:space="preserve">Optimistic (everything behaves as expected):</x:t>
    </x:r>
    <x:r>
      <x:rPr>
        <x:sz val="11"/>
        <x:rFont val="Carlito"/>
      </x:rPr>
      <x:t xml:space="preserve"> </x:t>
    </x:r>
    <x:r>
      <x:rPr>
        <x:b/>
        <x:sz val="11"/>
        <x:rFont val="Carlito"/>
      </x:rPr>
      <x:t xml:space="preserve">~120 hours</x:t>
    </x:r>
  </x:si>
  <x:si>
    <x:r>
      <x:t xml:space="preserve">Most likely:</x:t>
    </x:r>
    <x:r>
      <x:rPr>
        <x:sz val="11"/>
        <x:rFont val="Carlito"/>
      </x:rPr>
      <x:t xml:space="preserve"> </x:t>
    </x:r>
    <x:r>
      <x:rPr>
        <x:b/>
        <x:sz val="11"/>
        <x:rFont val="Carlito"/>
      </x:rPr>
      <x:t xml:space="preserve">~170–200 hours</x:t>
    </x:r>
  </x:si>
  <x:si>
    <x:r>
      <x:t xml:space="preserve">Conservative (a few unexpected architectural issues):</x:t>
    </x:r>
    <x:r>
      <x:rPr>
        <x:sz val="11"/>
        <x:rFont val="Carlito"/>
      </x:rPr>
      <x:t xml:space="preserve"> </x:t>
    </x:r>
    <x:r>
      <x:rPr>
        <x:b/>
        <x:sz val="11"/>
        <x:rFont val="Carlito"/>
      </x:rPr>
      <x:t xml:space="preserve">~250 hours</x:t>
    </x:r>
  </x:si>
  <x:si>
    <x:t xml:space="preserve">What I think is most realistic</x:t>
  </x:si>
  <x:si>
    <x:r>
      <x:t xml:space="preserve">I'd budget </x:t>
    </x:r>
    <x:r>
      <x:rPr>
        <x:b/>
        <x:sz val="11"/>
        <x:rFont val="Carlito"/>
      </x:rPr>
      <x:t xml:space="preserve">about 180 engineering hours</x:t>
    </x:r>
    <x:r>
      <x:rPr>
        <x:sz val="11"/>
        <x:rFont val="Carlito"/>
      </x:rPr>
      <x:t xml:space="preserve">.</x:t>
    </x:r>
  </x:si>
  <x:si>
    <x:t xml:space="preserve">That's roughly:</x:t>
  </x:si>
  <x:si>
    <x:r>
      <x:t xml:space="preserve">4–5 weeks</x:t>
    </x:r>
    <x:r>
      <x:rPr>
        <x:sz val="11"/>
        <x:rFont val="Carlito"/>
      </x:rPr>
      <x:t xml:space="preserve"> for one experienced engineer working full time.</x:t>
    </x:r>
  </x:si>
  <x:si>
    <x:r>
      <x:t xml:space="preserve">2–3 weeks</x:t>
    </x:r>
    <x:r>
      <x:rPr>
        <x:sz val="11"/>
        <x:rFont val="Carlito"/>
      </x:rPr>
      <x:t xml:space="preserve"> if much of the implementation, testing, and deployment work can run in parallel (for example, using Codex/Devin for bounded implementation tasks while a human reviews and validates).</x:t>
    </x:r>
  </x:si>
  <x:si>
    <x:t xml:space="preserve">Good news</x:t>
  </x:si>
  <x:si>
    <x:t xml:space="preserve">The nature of the remaining work is very different from where you were a few weeks ago.</x:t>
  </x:si>
  <x:si>
    <x:r>
      <x:t xml:space="preserve">Earlier, much of the effort was </x:t>
    </x:r>
    <x:r>
      <x:rPr>
        <x:b/>
        <x:sz val="11"/>
        <x:rFont val="Carlito"/>
      </x:rPr>
      <x:t xml:space="preserve">building missing infrastructure</x:t>
    </x:r>
    <x:r>
      <x:rPr>
        <x:sz val="11"/>
        <x:rFont val="Carlito"/>
      </x:rPr>
      <x:t xml:space="preserve">:</x:t>
    </x:r>
  </x:si>
  <x:si>
    <x:t xml:space="preserve">persistence</x:t>
  </x:si>
  <x:si>
    <x:t xml:space="preserve">canonical authority</x:t>
  </x:si>
  <x:si>
    <x:t xml:space="preserve">Workbench identity</x:t>
  </x:si>
  <x:si>
    <x:t xml:space="preserve">replay safety</x:t>
  </x:si>
  <x:si>
    <x:t xml:space="preserve">production deployment</x:t>
  </x:si>
  <x:si>
    <x:t xml:space="preserve">Now, most of what's left is:</x:t>
  </x:si>
  <x:si>
    <x:t xml:space="preserve">proving behavior,</x:t>
  </x:si>
  <x:si>
    <x:t xml:space="preserve">reconciling contracts,</x:t>
  </x:si>
  <x:si>
    <x:t xml:space="preserve">investigating edge cases,</x:t>
  </x:si>
  <x:si>
    <x:t xml:space="preserve">improving observability.</x:t>
  </x:si>
  <x:si>
    <x:t xml:space="preserve">That generally carries lower architectural risk because you're refining an already functioning system rather than inventing major new subsystems.</x:t>
  </x:si>
  <x:si>
    <x:t xml:space="preserve">My recommendation</x:t>
  </x:si>
  <x:si>
    <x:r>
      <x:t xml:space="preserve">I would </x:t>
    </x:r>
    <x:r>
      <x:rPr>
        <x:b/>
        <x:sz val="11"/>
        <x:rFont val="Carlito"/>
      </x:rPr>
      <x:t xml:space="preserve">not</x:t>
    </x:r>
    <x:r>
      <x:rPr>
        <x:sz val="11"/>
        <x:rFont val="Carlito"/>
      </x:rPr>
      <x:t xml:space="preserve"> try to finish all ~180 hours before another production release.</x:t>
    </x:r>
  </x:si>
  <x:si>
    <x:t xml:space="preserve">Instead, I'd split it into three milestones:</x:t>
  </x:si>
  <x:si>
    <x:t xml:space="preserve">Milestone 1 (≈40–60 hours)</x:t>
  </x:si>
  <x:si>
    <x:t xml:space="preserve">Corrective-action register</x:t>
  </x:si>
  <x:si>
    <x:t xml:space="preserve">Artifact contract reconciliation for the highest-priority mismatches</x:t>
  </x:si>
  <x:si>
    <x:t xml:space="preserve">Milestone 2 (≈50–70 hours)</x:t>
  </x:si>
  <x:si>
    <x:t xml:space="preserve">Recommendation suppression forensics</x:t>
  </x:si>
  <x:si>
    <x:t xml:space="preserve">Provenance completion</x:t>
  </x:si>
  <x:si>
    <x:t xml:space="preserve">Pass 2 truncation fix</x:t>
  </x:si>
  <x:si>
    <x:t xml:space="preserve">Milestone 3 (≈60–80 hours)</x:t>
  </x:si>
  <x:si>
    <x:t xml:space="preserve">Instrumentation</x:t>
  </x:si>
  <x:si>
    <x:t xml:space="preserve">Dirty-data proof expansion</x:t>
  </x:si>
  <x:si>
    <x:t xml:space="preserve">Operational diagnostics</x:t>
  </x:si>
  <x:si>
    <x:t xml:space="preserve">Remaining cleanup</x:t>
  </x:si>
  <x:si>
    <x:t xml:space="preserve">That approach gets the remaining major runtime capability (Held Recovery) proven first, then addresses the highest-value investigative and reliability work in manageable increments.</x:t>
  </x:si>
  <x:si>
    <x:t xml:space="preserve">Phase–Pass SIPOC / FIPOC Matrix</x:t>
  </x:si>
  <x:si>
    <x:t xml:space="preserve">Production proof job 2a3b7e14-c898-44eb-a85a-e2e6e9980880. Durations are observed/derived and rounded; Phase 5 is user-open latency, not pipeline runtime.</x:t>
  </x:si>
  <x:si>
    <x:t xml:space="preserve">Phase</x:t>
  </x:si>
  <x:si>
    <x:t xml:space="preserve">Pass / process</x:t>
  </x:si>
  <x:si>
    <x:t xml:space="preserve">Suppliers</x:t>
  </x:si>
  <x:si>
    <x:t xml:space="preserve">Inputs</x:t>
  </x:si>
  <x:si>
    <x:t xml:space="preserve">Process</x:t>
  </x:si>
  <x:si>
    <x:t xml:space="preserve">Controls / kickbacks</x:t>
  </x:si>
  <x:si>
    <x:t xml:space="preserve">Outputs</x:t>
  </x:si>
  <x:si>
    <x:t xml:space="preserve">Customers</x:t>
  </x:si>
  <x:si>
    <x:t xml:space="preserve">Seconds</x:t>
  </x:si>
  <x:si>
    <x:t xml:space="preserve">Completeness</x:t>
  </x:si>
  <x:si>
    <x:t xml:space="preserve">Quality</x:t>
  </x:si>
  <x:si>
    <x:t xml:space="preserve">% acceptable</x:t>
  </x:si>
  <x:si>
    <x:t xml:space="preserve">Status</x:t>
  </x:si>
  <x:si>
    <x:t xml:space="preserve">Primary metric</x:t>
  </x:si>
  <x:si>
    <x:t xml:space="preserve">Finding</x:t>
  </x:si>
  <x:si>
    <x:t xml:space="preserve">Phase 0</x:t>
  </x:si>
  <x:si>
    <x:t xml:space="preserve">Seed generation + fit-gap</x:t>
  </x:si>
  <x:si>
    <x:t xml:space="preserve">Manuscript intake; doctrine registry</x:t>
  </x:si>
  <x:si>
    <x:t xml:space="preserve">Manuscript text; mode; seed contracts</x:t>
  </x:si>
  <x:si>
    <x:t xml:space="preserve">Generate story/evaluation seeds and validate fit gaps</x:t>
  </x:si>
  <x:si>
    <x:t xml:space="preserve">Schema health; fit-gap status</x:t>
  </x:si>
  <x:si>
    <x:t xml:space="preserve">3 seed artifacts</x:t>
  </x:si>
  <x:si>
    <x:t xml:space="preserve">Phase 1; forensic audit</x:t>
  </x:si>
  <x:si>
    <x:t xml:space="preserve">NEEDS HARDENING</x:t>
  </x:si>
  <x:si>
    <x:t xml:space="preserve">Artifact fitness; latency; release state</x:t>
  </x:si>
  <x:si>
    <x:t xml:space="preserve">Seed health contracts show missing expected fields.</x:t>
  </x:si>
  <x:si>
    <x:t xml:space="preserve">Phase 1</x:t>
  </x:si>
  <x:si>
    <x:t xml:space="preserve">Full context + editorial dream</x:t>
  </x:si>
  <x:si>
    <x:t xml:space="preserve">Phase 0 seeds; manuscript</x:t>
  </x:si>
  <x:si>
    <x:t xml:space="preserve">Canonical text; seed hypotheses</x:t>
  </x:si>
  <x:si>
    <x:t xml:space="preserve">Whole-context narrative and editorial diagnosis</x:t>
  </x:si>
  <x:si>
    <x:t xml:space="preserve">Acceptance checks; hard-do-not-import</x:t>
  </x:si>
  <x:si>
    <x:t xml:space="preserve">Story ledger; editorial dream</x:t>
  </x:si>
  <x:si>
    <x:t xml:space="preserve">Phase 1A; synthesis</x:t>
  </x:si>
  <x:si>
    <x:t xml:space="preserve">PASS WITH FINDINGS</x:t>
  </x:si>
  <x:si>
    <x:t xml:space="preserve">Rich content; two persisted records lack source hashes.</x:t>
  </x:si>
  <x:si>
    <x:t xml:space="preserve">Phase 1A</x:t>
  </x:si>
  <x:si>
    <x:t xml:space="preserve">Routing, character and story ledgers</x:t>
  </x:si>
  <x:si>
    <x:t xml:space="preserve">Phase 1 ledgers; chunker</x:t>
  </x:si>
  <x:si>
    <x:t xml:space="preserve">Two chunks; routing manifest; preflight</x:t>
  </x:si>
  <x:si>
    <x:t xml:space="preserve">Build character/story layers and certify accepted ledger</x:t>
  </x:si>
  <x:si>
    <x:t xml:space="preserve">Ledger quality report; accepted-ledger boundary</x:t>
  </x:si>
  <x:si>
    <x:t xml:space="preserve">7 routing/cache/ledger artifacts</x:t>
  </x:si>
  <x:si>
    <x:t xml:space="preserve">Phase 2; Pass 3 preflight</x:t>
  </x:si>
  <x:si>
    <x:t xml:space="preserve">Routing/cache health schema drift despite successful processing.</x:t>
  </x:si>
  <x:si>
    <x:t xml:space="preserve">Phase 2</x:t>
  </x:si>
  <x:si>
    <x:t xml:space="preserve">Pass 1 / Pass 2 analysis and handoff</x:t>
  </x:si>
  <x:si>
    <x:t xml:space="preserve">Accepted story ledger; chunk caches</x:t>
  </x:si>
  <x:si>
    <x:t xml:space="preserve">Two manuscript chunks; criterion targets</x:t>
  </x:si>
  <x:si>
    <x:t xml:space="preserve">Analyze chunks, reconcile Pass 1/2 and persist handoff</x:t>
  </x:si>
  <x:si>
    <x:t xml:space="preserve">Token/output limit; handoff contract</x:t>
  </x:si>
  <x:si>
    <x:t xml:space="preserve">Pass 1 cache; Pass 2 cache; handoff</x:t>
  </x:si>
  <x:si>
    <x:t xml:space="preserve">Phase 3 synthesis</x:t>
  </x:si>
  <x:si>
    <x:t xml:space="preserve">Pass 2 retried after 8k truncation; handoff health 0/95.</x:t>
  </x:si>
  <x:si>
    <x:t xml:space="preserve">Phase 3</x:t>
  </x:si>
  <x:si>
    <x:t xml:space="preserve">Synthesis + quality gates</x:t>
  </x:si>
  <x:si>
    <x:t xml:space="preserve">Pass 1/2 handoff; preflight; ledgers</x:t>
  </x:si>
  <x:si>
    <x:t xml:space="preserve">Criterion evidence and recommendations</x:t>
  </x:si>
  <x:si>
    <x:t xml:space="preserve">Synthesize, normalize, consistency-check and gate</x:t>
  </x:si>
  <x:si>
    <x:t xml:space="preserve">Author-facing integrity; consistency; Gate 15</x:t>
  </x:si>
  <x:si>
    <x:t xml:space="preserve">Evaluation result + 4 gate/snapshot artifacts</x:t>
  </x:si>
  <x:si>
    <x:t xml:space="preserve">Phase 4 certification</x:t>
  </x:si>
  <x:si>
    <x:t xml:space="preserve">Former integrity escape did not recur; 0/13 safe criterion recommendations.</x:t>
  </x:si>
  <x:si>
    <x:t xml:space="preserve">Phase 4</x:t>
  </x:si>
  <x:si>
    <x:t xml:space="preserve">Unified document + release certification</x:t>
  </x:si>
  <x:si>
    <x:t xml:space="preserve">Canonical evaluation result</x:t>
  </x:si>
  <x:si>
    <x:t xml:space="preserve">Gated criteria; hashes; render registry</x:t>
  </x:si>
  <x:si>
    <x:t xml:space="preserve">Build UED, prove surface parity and certify release</x:t>
  </x:si>
  <x:si>
    <x:t xml:space="preserve">Render manifest; author exposure certification</x:t>
  </x:si>
  <x:si>
    <x:t xml:space="preserve">UED; render manifest; certification</x:t>
  </x:si>
  <x:si>
    <x:t xml:space="preserve">Evaluate UI; Revise</x:t>
  </x:si>
  <x:si>
    <x:t xml:space="preserve">Canonical ledger explicitly present with opportunities: [].</x:t>
  </x:si>
  <x:si>
    <x:t xml:space="preserve">Phase 5</x:t>
  </x:si>
  <x:si>
    <x:t xml:space="preserve">Revise projection + Workbench</x:t>
  </x:si>
  <x:si>
    <x:t xml:space="preserve">Certified UED; canonical ledger</x:t>
  </x:si>
  <x:si>
    <x:t xml:space="preserve">Present empty canonical authority</x:t>
  </x:si>
  <x:si>
    <x:t xml:space="preserve">Persist ledger and project Workbench queue</x:t>
  </x:si>
  <x:si>
    <x:t xml:space="preserve">Missing/malformed fail closed; empty accepted</x:t>
  </x:si>
  <x:si>
    <x:t xml:space="preserve">Durable empty ledger; valid empty Workbench</x:t>
  </x:si>
  <x:si>
    <x:t xml:space="preserve">Editor</x:t>
  </x:si>
  <x:si>
    <x:t xml:space="preserve">Reload preserved same ledger row; no duplicates; decision N/A.</x:t>
  </x:si>
  <x:si>
    <x:t xml:space="preserve">Reconstruction + identity-only Readmission</x:t>
  </x:si>
  <x:si>
    <x:t xml:space="preserve">Held item; canonical persisted anchor</x:t>
  </x:si>
  <x:si>
    <x:t xml:space="preserve">Recoverable truncated anchor</x:t>
  </x:si>
  <x:si>
    <x:t xml:space="preserve">Reconstruct, verify, Readmit and project</x:t>
  </x:si>
  <x:si>
    <x:t xml:space="preserve">Exact-job feature gate; version/fingerprint checks</x:t>
  </x:si>
  <x:si>
    <x:t xml:space="preserve">Hydrated recovered Workbench card</x:t>
  </x:si>
  <x:si>
    <x:t xml:space="preserve">This manuscript produced zero held items, so the branch did not execute.</x:t>
  </x:si>
  <x:si>
    <x:t xml:space="preserve">Artifact Forensics</x:t>
  </x:si>
  <x:si>
    <x:t xml:space="preserve">Acceptability = 40% completeness + 35% quality + 25% contract health. This measures evidence/contract fitness, not literary merit.</x:t>
  </x:si>
  <x:si>
    <x:t xml:space="preserve">Artifact</x:t>
  </x:si>
  <x:si>
    <x:t xml:space="preserve">Content type</x:t>
  </x:si>
  <x:si>
    <x:t xml:space="preserve">Bytes</x:t>
  </x:si>
  <x:si>
    <x:t xml:space="preserve">Source hash</x:t>
  </x:si>
  <x:si>
    <x:t xml:space="preserve">Fields</x:t>
  </x:si>
  <x:si>
    <x:t xml:space="preserve">Contract health</x:t>
  </x:si>
  <x:si>
    <x:t xml:space="preserve">Forensic finding</x:t>
  </x:si>
  <x:si>
    <x:t xml:space="preserve">Evidence ID</x:t>
  </x:si>
  <x:si>
    <x:t xml:space="preserve">Persisted (UTC)</x:t>
  </x:si>
  <x:si>
    <x:t xml:space="preserve">Seed generation</x:t>
  </x:si>
  <x:si>
    <x:t xml:space="preserve">story_map_seed_v1</x:t>
  </x:si>
  <x:si>
    <x:t xml:space="preserve">object</x:t>
  </x:si>
  <x:si>
    <x:t xml:space="preserve">Yes</x:t>
  </x:si>
  <x:si>
    <x:t xml:space="preserve">Health 0/95: candidate entity, alias and relationship fields absent.</x:t>
  </x:si>
  <x:si>
    <x:t xml:space="preserve">8e27bdfe-d350-4181-af60-0873e2362322</x:t>
  </x:si>
  <x:si>
    <x:t xml:space="preserve">evaluation_seed_v1</x:t>
  </x:si>
  <x:si>
    <x:t xml:space="preserve">Health 0/95: likely strengths, risks and known targets absent.</x:t>
  </x:si>
  <x:si>
    <x:t xml:space="preserve">320a3888-fbc5-4906-9b04-13c7a903e87a</x:t>
  </x:si>
  <x:si>
    <x:t xml:space="preserve">Fit-gap validation</x:t>
  </x:si>
  <x:si>
    <x:t xml:space="preserve">seed_fit_gap_report_v1</x:t>
  </x:si>
  <x:si>
    <x:t xml:space="preserve">Health 32/95: passed with zero gaps but expected gap detail/severity fields absent.</x:t>
  </x:si>
  <x:si>
    <x:t xml:space="preserve">d793f5c4-3d90-42be-b93a-42bb58d90d19</x:t>
  </x:si>
  <x:si>
    <x:t xml:space="preserve">Full-context story analysis</x:t>
  </x:si>
  <x:si>
    <x:t xml:space="preserve">full_context_story_ledger_v1</x:t>
  </x:si>
  <x:si>
    <x:t xml:space="preserve">No</x:t>
  </x:si>
  <x:si>
    <x:t xml:space="preserve">Rich canonical facts/layers; persisted without a source_hash.</x:t>
  </x:si>
  <x:si>
    <x:t xml:space="preserve">6779a60d-c4a8-4dc0-b74f-2bd2b4fec5bf</x:t>
  </x:si>
  <x:si>
    <x:t xml:space="preserve">Editorial dream</x:t>
  </x:si>
  <x:si>
    <x:t xml:space="preserve">editorial_dream_seed_v1</x:t>
  </x:si>
  <x:si>
    <x:t xml:space="preserve">Broad diagnostic content; persisted without a source_hash.</x:t>
  </x:si>
  <x:si>
    <x:t xml:space="preserve">05ec647d-80f4-486a-bbd7-d3fad86cec29</x:t>
  </x:si>
  <x:si>
    <x:t xml:space="preserve">Chunk routing</x:t>
  </x:si>
  <x:si>
    <x:t xml:space="preserve">phase1a_chunk_routing_manifest_v1</x:t>
  </x:si>
  <x:si>
    <x:t xml:space="preserve">Health 0/95: expected route, chunk_count, word_count and chunks fields absent.</x:t>
  </x:si>
  <x:si>
    <x:t xml:space="preserve">34a4386b-2f5d-4846-989f-6026ce20411e</x:t>
  </x:si>
  <x:si>
    <x:t xml:space="preserve">Preflight reduction</x:t>
  </x:si>
  <x:si>
    <x:t xml:space="preserve">pass3_preflight_draft_v1</x:t>
  </x:si>
  <x:si>
    <x:t xml:space="preserve">Health 50/95: expected observations surface incomplete.</x:t>
  </x:si>
  <x:si>
    <x:t xml:space="preserve">a6b91753-54b0-4fc3-b6d2-a55624f4a8e8</x:t>
  </x:si>
  <x:si>
    <x:t xml:space="preserve">Chunk cache</x:t>
  </x:si>
  <x:si>
    <x:t xml:space="preserve">pass1a_chunk_cache_v1</x:t>
  </x:si>
  <x:si>
    <x:t xml:space="preserve">Health 50/95: cache persisted but observations health contract incomplete.</x:t>
  </x:si>
  <x:si>
    <x:t xml:space="preserve">b936262f-801a-44c8-ac25-3943ef12b012</x:t>
  </x:si>
  <x:si>
    <x:t xml:space="preserve">Character ledger</x:t>
  </x:si>
  <x:si>
    <x:t xml:space="preserve">pass1a_character_ledger_v1</x:t>
  </x:si>
  <x:si>
    <x:t xml:space="preserve">Two chunks processed; coverage and pipeline statistics present.</x:t>
  </x:si>
  <x:si>
    <x:t xml:space="preserve">3a455c7a-53bb-4b41-8b09-fddc11e28710</x:t>
  </x:si>
  <x:si>
    <x:t xml:space="preserve">Story layer</x:t>
  </x:si>
  <x:si>
    <x:t xml:space="preserve">pass1a_story_layer_v1</x:t>
  </x:si>
  <x:si>
    <x:t xml:space="preserve">Identity, version and hash fields present; accepted downstream.</x:t>
  </x:si>
  <x:si>
    <x:t xml:space="preserve">18365163-9d86-4fe4-a6d3-290a2cd7b3c0</x:t>
  </x:si>
  <x:si>
    <x:t xml:space="preserve">Ledger quality gate</x:t>
  </x:si>
  <x:si>
    <x:t xml:space="preserve">ledger_quality_report_v1</x:t>
  </x:si>
  <x:si>
    <x:t xml:space="preserve">Quality report persisted and accepted ledger followed.</x:t>
  </x:si>
  <x:si>
    <x:t xml:space="preserve">26250213-dbfb-4199-b9d3-18b3c5ebddf9</x:t>
  </x:si>
  <x:si>
    <x:t xml:space="preserve">Accepted story authority</x:t>
  </x:si>
  <x:si>
    <x:t xml:space="preserve">accepted_story_ledger_v1</x:t>
  </x:si>
  <x:si>
    <x:t xml:space="preserve">Governed accepted ledger with source identity and layer audit.</x:t>
  </x:si>
  <x:si>
    <x:t xml:space="preserve">165a3982-4217-465d-a04d-3da84d5964d8</x:t>
  </x:si>
  <x:si>
    <x:t xml:space="preserve">Pass 1 cache</x:t>
  </x:si>
  <x:si>
    <x:t xml:space="preserve">pass1_chunk_cache_v1</x:t>
  </x:si>
  <x:si>
    <x:t xml:space="preserve">Complete cache persisted; row source_hash missing.</x:t>
  </x:si>
  <x:si>
    <x:t xml:space="preserve">7f508d7e-87fb-413a-95a7-7557482b08f1</x:t>
  </x:si>
  <x:si>
    <x:t xml:space="preserve">Pass 2 cache</x:t>
  </x:si>
  <x:si>
    <x:t xml:space="preserve">pass2_chunk_cache_v1</x:t>
  </x:si>
  <x:si>
    <x:t xml:space="preserve">Completed after an 8k output-limit retry at 12k; row source_hash missing.</x:t>
  </x:si>
  <x:si>
    <x:t xml:space="preserve">46e37a6b-476c-42c7-972c-dd4583edc3ad</x:t>
  </x:si>
  <x:si>
    <x:t xml:space="preserve">Pass 1→2 handoff</x:t>
  </x:si>
  <x:si>
    <x:t xml:space="preserve">pass12_handoff_v1</x:t>
  </x:si>
  <x:si>
    <x:t xml:space="preserve">Health 0/95: expected certified_payload and prose_quality_certification absent.</x:t>
  </x:si>
  <x:si>
    <x:t xml:space="preserve">0eb1d26e-5944-4ca2-b951-10198d3e6fe6</x:t>
  </x:si>
  <x:si>
    <x:t xml:space="preserve">Post-quality-gate snapshot</x:t>
  </x:si>
  <x:si>
    <x:t xml:space="preserve">post_qg_effective_snapshot_v1</x:t>
  </x:si>
  <x:si>
    <x:t xml:space="preserve">Canonical criteria and zero-opportunity result persisted.</x:t>
  </x:si>
  <x:si>
    <x:t xml:space="preserve">f206afdb-ecc6-4f9c-aa57-44aa5c52d0a8</x:t>
  </x:si>
  <x:si>
    <x:t xml:space="preserve">Summary consistency gate</x:t>
  </x:si>
  <x:si>
    <x:t xml:space="preserve">summary_criterion_consistency_v1</x:t>
  </x:si>
  <x:si>
    <x:t xml:space="preserve">Nonblocking consistency evidence persisted.</x:t>
  </x:si>
  <x:si>
    <x:t xml:space="preserve">3b6273b6-553a-421b-b0ca-499fd6f2ff5b</x:t>
  </x:si>
  <x:si>
    <x:t xml:space="preserve">Artifact consistency gate</x:t>
  </x:si>
  <x:si>
    <x:t xml:space="preserve">artifact_consistency_gate_v1</x:t>
  </x:si>
  <x:si>
    <x:t xml:space="preserve">Invariant checks and status persisted.</x:t>
  </x:si>
  <x:si>
    <x:t xml:space="preserve">aa465df8-c3f5-499a-87d7-972ea2efaf7a</x:t>
  </x:si>
  <x:si>
    <x:t xml:space="preserve">Gate 15 audit</x:t>
  </x:si>
  <x:si>
    <x:t xml:space="preserve">gate_15_audit_v1</x:t>
  </x:si>
  <x:si>
    <x:t xml:space="preserve">Audit trail persisted; advisory semantics explicit.</x:t>
  </x:si>
  <x:si>
    <x:t xml:space="preserve">624a6a6e-c7f5-4894-bfde-90ce8ee5a123</x:t>
  </x:si>
  <x:si>
    <x:t xml:space="preserve">evaluation_result_v2</x:t>
  </x:si>
  <x:si>
    <x:t xml:space="preserve">13/13 criteria include score, rationale and evidence.</x:t>
  </x:si>
  <x:si>
    <x:t xml:space="preserve">9bf16510-aa07-4115-89a3-596a682adb2a</x:t>
  </x:si>
  <x:si>
    <x:t xml:space="preserve">Unified document</x:t>
  </x:si>
  <x:si>
    <x:t xml:space="preserve">unified_evaluation_document_v1</x:t>
  </x:si>
  <x:si>
    <x:t xml:space="preserve">Canonical opportunity ledger present and explicitly empty.</x:t>
  </x:si>
  <x:si>
    <x:t xml:space="preserve">d4ee8be0-88a1-46b5-9931-46df6aa5fb09</x:t>
  </x:si>
  <x:si>
    <x:t xml:space="preserve">Render parity manifest</x:t>
  </x:si>
  <x:si>
    <x:t xml:space="preserve">report_render_manifest_v1</x:t>
  </x:si>
  <x:si>
    <x:t xml:space="preserve">Required field registry and surface parity hashes persisted.</x:t>
  </x:si>
  <x:si>
    <x:t xml:space="preserve">b9622828-2510-476d-b703-6e361b1a0037</x:t>
  </x:si>
  <x:si>
    <x:t xml:space="preserve">Release certification</x:t>
  </x:si>
  <x:si>
    <x:t xml:space="preserve">author_exposure_certification_v1</x:t>
  </x:si>
  <x:si>
    <x:t xml:space="preserve">Certified author exposure with blocking reasons field and UED hash.</x:t>
  </x:si>
  <x:si>
    <x:t xml:space="preserve">2b26f613-b754-4186-a467-4ac16b0d5f9b</x:t>
  </x:si>
  <x:si>
    <x:t xml:space="preserve">Workbench projection</x:t>
  </x:si>
  <x:si>
    <x:t xml:space="preserve">revision_opportunity_ledger_v1</x:t>
  </x:si>
  <x:si>
    <x:t xml:space="preserve">N/A</x:t>
  </x:si>
  <x:si>
    <x:t xml:space="preserve">One durable row; canonical_full; canonical_count=0; rendered_count=0; same row after reload.</x:t>
  </x:si>
  <x:si>
    <x:t xml:space="preserve">eb1d9ae7-b48b-4e45-806f-95a2d4d8170a</x:t>
  </x:si>
  <x:si>
    <x:t xml:space="preserve">Kickback &amp; Gate Audit</x:t>
  </x:si>
  <x:si>
    <x:t xml:space="preserve">Evidence strength distinguishes live production behavior from contract-only characterization. No synthetic dirty payload was injected into production.</x:t>
  </x:si>
  <x:si>
    <x:t xml:space="preserve">Gate / kickback</x:t>
  </x:si>
  <x:si>
    <x:t xml:space="preserve">Boundary</x:t>
  </x:si>
  <x:si>
    <x:t xml:space="preserve">Dirty-data risk</x:t>
  </x:si>
  <x:si>
    <x:t xml:space="preserve">Control</x:t>
  </x:si>
  <x:si>
    <x:t xml:space="preserve">Evidence level</x:t>
  </x:si>
  <x:si>
    <x:t xml:space="preserve">Result / gap</x:t>
  </x:si>
  <x:si>
    <x:t xml:space="preserve">Proof dispatch hold</x:t>
  </x:si>
  <x:si>
    <x:t xml:space="preserve">Submission</x:t>
  </x:si>
  <x:si>
    <x:t xml:space="preserve">Ordinary job accidentally processes before exact targeting</x:t>
  </x:si>
  <x:si>
    <x:t xml:space="preserve">Explicit proof marker + one-held-job invariant</x:t>
  </x:si>
  <x:si>
    <x:t xml:space="preserve">Live production</x:t>
  </x:si>
  <x:si>
    <x:t xml:space="preserve">Held undispatched until exact release; no duplicate job.</x:t>
  </x:si>
  <x:si>
    <x:t xml:space="preserve">Exact-job release</x:t>
  </x:si>
  <x:si>
    <x:t xml:space="preserve">Dispatch</x:t>
  </x:si>
  <x:si>
    <x:t xml:space="preserve">Wrong job released or broad queue impact</x:t>
  </x:si>
  <x:si>
    <x:t xml:space="preserve">Exact ID and proof marker required</x:t>
  </x:si>
  <x:si>
    <x:t xml:space="preserve">Only job 2a3b7e14… released.</x:t>
  </x:si>
  <x:si>
    <x:t xml:space="preserve">Author-facing text integrity</x:t>
  </x:si>
  <x:si>
    <x:t xml:space="preserve">Unowned author-facing field</x:t>
  </x:si>
  <x:si>
    <x:t xml:space="preserve">Path registry is single authority; CI covers 13 criteria</x:t>
  </x:si>
  <x:si>
    <x:t xml:space="preserve">Live rerun + contracts</x:t>
  </x:si>
  <x:si>
    <x:t xml:space="preserve">Prior AUTHOR_FACING_TEXT_INTEGRITY_FAILED did not recur.</x:t>
  </x:si>
  <x:si>
    <x:t xml:space="preserve">Recommendation safety</x:t>
  </x:si>
  <x:si>
    <x:t xml:space="preserve">Unsafe advice reaches Revise</x:t>
  </x:si>
  <x:si>
    <x:t xml:space="preserve">Gate-suppressed/no-recommendation states</x:t>
  </x:si>
  <x:si>
    <x:t xml:space="preserve">PASS WITH FINDING</x:t>
  </x:si>
  <x:si>
    <x:t xml:space="preserve">0 criterion recommendations; safety held, usefulness needs calibration.</x:t>
  </x:si>
  <x:si>
    <x:t xml:space="preserve">Summary/criterion consistency</x:t>
  </x:si>
  <x:si>
    <x:t xml:space="preserve">Contradictory summary and criterion result</x:t>
  </x:si>
  <x:si>
    <x:t xml:space="preserve">Consistency artifact</x:t>
  </x:si>
  <x:si>
    <x:t xml:space="preserve">summary_criterion_consistency_v1 persisted.</x:t>
  </x:si>
  <x:si>
    <x:t xml:space="preserve">Artifact consistency</x:t>
  </x:si>
  <x:si>
    <x:t xml:space="preserve">Cross-artifact identity/content mismatch</x:t>
  </x:si>
  <x:si>
    <x:t xml:space="preserve">artifact_consistency_gate_v1 persisted.</x:t>
  </x:si>
  <x:si>
    <x:t xml:space="preserve">Uncertified document exposed</x:t>
  </x:si>
  <x:si>
    <x:t xml:space="preserve">Render parity + author exposure certification</x:t>
  </x:si>
  <x:si>
    <x:t xml:space="preserve">Both manifest and certification persisted.</x:t>
  </x:si>
  <x:si>
    <x:t xml:space="preserve">Canonical empty authority</x:t>
  </x:si>
  <x:si>
    <x:t xml:space="preserve">Zero opportunities mistaken for missing ledger</x:t>
  </x:si>
  <x:si>
    <x:t xml:space="preserve">Present empty array is governed authority</x:t>
  </x:si>
  <x:si>
    <x:t xml:space="preserve">Live production + regression</x:t>
  </x:si>
  <x:si>
    <x:t xml:space="preserve">Empty Workbench rendered; one durable ledger row after reload.</x:t>
  </x:si>
  <x:si>
    <x:t xml:space="preserve">Missing canonical authority</x:t>
  </x:si>
  <x:si>
    <x:t xml:space="preserve">Legacy recommendation manufactured into cards</x:t>
  </x:si>
  <x:si>
    <x:t xml:space="preserve">Fail closed</x:t>
  </x:si>
  <x:si>
    <x:t xml:space="preserve">Regression contracts</x:t>
  </x:si>
  <x:si>
    <x:t xml:space="preserve">Missing canonicalOpportunityLedger.opportunities still rejects.</x:t>
  </x:si>
  <x:si>
    <x:t xml:space="preserve">Malformed canonical authority</x:t>
  </x:si>
  <x:si>
    <x:t xml:space="preserve">Non-array value accepted downstream</x:t>
  </x:si>
  <x:si>
    <x:t xml:space="preserve">Malformed/non-array still rejects.</x:t>
  </x:si>
  <x:si>
    <x:t xml:space="preserve">Idempotent Workbench projection</x:t>
  </x:si>
  <x:si>
    <x:t xml:space="preserve">Repeated opens duplicate ledger/card</x:t>
  </x:si>
  <x:si>
    <x:t xml:space="preserve">Canonical ledger upsert/projection authority</x:t>
  </x:si>
  <x:si>
    <x:t xml:space="preserve">Live reload + regression</x:t>
  </x:si>
  <x:si>
    <x:t xml:space="preserve">Same row ID and row_count=1 after reload.</x:t>
  </x:si>
  <x:si>
    <x:t xml:space="preserve">Held Recovery canonical anchor</x:t>
  </x:si>
  <x:si>
    <x:t xml:space="preserve">Dirty/mismatched anchor or identity readmitted</x:t>
  </x:si>
  <x:si>
    <x:t xml:space="preserve">CAS anchor_updated + version/fingerprint verification</x:t>
  </x:si>
  <x:si>
    <x:t xml:space="preserve">Contracts only</x:t>
  </x:si>
  <x:si>
    <x:t xml:space="preserve">UNPROVEN LIVE</x:t>
  </x:si>
  <x:si>
    <x:t xml:space="preserve">No held item occurred; live reconstruction/readmission not exercised.</x:t>
  </x:si>
  <x:si>
    <x:t xml:space="preserve">Dirty-data downstream kickback</x:t>
  </x:si>
  <x:si>
    <x:t xml:space="preserve">Cross-phase</x:t>
  </x:si>
  <x:si>
    <x:t xml:space="preserve">Invalid producer artifact reaches consumer</x:t>
  </x:si>
  <x:si>
    <x:t xml:space="preserve">Artifact-health schemas and release gates</x:t>
  </x:si>
  <x:si>
    <x:t xml:space="preserve">Mixed</x:t>
  </x:si>
  <x:si>
    <x:t xml:space="preserve">Several artifacts persisted despite health scores 0/95–50/95; gate coverage is incomplete.</x:t>
  </x:si>
  <x:si>
    <x:t xml:space="preserve">Held Recovery &amp; Workbench Proof</x:t>
  </x:si>
  <x:si>
    <x:t xml:space="preserve">Separates what was actually demonstrated in production from contract-only capability.</x:t>
  </x:si>
  <x:si>
    <x:t xml:space="preserve">Objective</x:t>
  </x:si>
  <x:si>
    <x:t xml:space="preserve">State</x:t>
  </x:si>
  <x:si>
    <x:t xml:space="preserve">Production commit deployed</x:t>
  </x:si>
  <x:si>
    <x:t xml:space="preserve">b14d54b5501f6611eabe1bd5eb21afdb10faac2b</x:t>
  </x:si>
  <x:si>
    <x:t xml:space="preserve">Vercel READY and alignment guards green.</x:t>
  </x:si>
  <x:si>
    <x:t xml:space="preserve">Fresh controlled evaluation</x:t>
  </x:si>
  <x:si>
    <x:t xml:space="preserve">Job 2a3b7e14-c898-44eb-a85a-e2e6e9980880; manuscript 7764</x:t>
  </x:si>
  <x:si>
    <x:t xml:space="preserve">Completed at 82/100 with 23 artifacts.</x:t>
  </x:si>
  <x:si>
    <x:t xml:space="preserve">Prior Phase 3 integrity defect</x:t>
  </x:si>
  <x:si>
    <x:t xml:space="preserve">No AUTHOR_FACING_TEXT_INTEGRITY_FAILED</x:t>
  </x:si>
  <x:si>
    <x:t xml:space="preserve">Systemic registry ownership correction held in production.</x:t>
  </x:si>
  <x:si>
    <x:t xml:space="preserve">Canonical opportunity ledger</x:t>
  </x:si>
  <x:si>
    <x:t xml:space="preserve">opportunities: []</x:t>
  </x:si>
  <x:si>
    <x:t xml:space="preserve">Valid governed zero-opportunity outcome.</x:t>
  </x:si>
  <x:si>
    <x:t xml:space="preserve">Workbench open</x:t>
  </x:si>
  <x:si>
    <x:t xml:space="preserve">Active 0; Held 0</x:t>
  </x:si>
  <x:si>
    <x:t xml:space="preserve">Valid empty-state UI; no 500 or legacy fallback.</x:t>
  </x:si>
  <x:si>
    <x:t xml:space="preserve">Reload persistence</x:t>
  </x:si>
  <x:si>
    <x:t xml:space="preserve">Ledger row eb1d9ae7…; row_count=1</x:t>
  </x:si>
  <x:si>
    <x:t xml:space="preserve">Same durable row after refresh; no duplicate.</x:t>
  </x:si>
  <x:si>
    <x:t xml:space="preserve">Decision persistence</x:t>
  </x:si>
  <x:si>
    <x:t xml:space="preserve">NOT APPLICABLE</x:t>
  </x:si>
  <x:si>
    <x:t xml:space="preserve">0 cards</x:t>
  </x:si>
  <x:si>
    <x:t xml:space="preserve">Cannot accept/reject when canonical result is empty.</x:t>
  </x:si>
  <x:si>
    <x:t xml:space="preserve">Held item created</x:t>
  </x:si>
  <x:si>
    <x:t xml:space="preserve">0 attempts; 0 work items; 0 anchors</x:t>
  </x:si>
  <x:si>
    <x:t xml:space="preserve">This manuscript did not trigger recoverable truncation.</x:t>
  </x:si>
  <x:si>
    <x:t xml:space="preserve">Reconstruction and Readmission</x:t>
  </x:si>
  <x:si>
    <x:t xml:space="preserve">0 transitions; 0 recovered cards</x:t>
  </x:si>
  <x:si>
    <x:t xml:space="preserve">Runtime path remains unproven by a live held item.</x:t>
  </x:si>
  <x:si>
    <x:t xml:space="preserve">Exact-job environment flag cleanup</x:t>
  </x:si>
  <x:si>
    <x:t xml:space="preserve">0 remaining production entries</x:t>
  </x:si>
  <x:si>
    <x:t xml:space="preserve">Flag removed and clean deployment is READY.</x:t>
  </x:si>
  <x:si>
    <x:t xml:space="preserve">Latency, Friction &amp; Quality Opportunities</x:t>
  </x:si>
  <x:si>
    <x:t xml:space="preserve">Prioritized register. Proposals preserve canonical authority, safety gates and fail-closed behavior.</x:t>
  </x:si>
  <x:si>
    <x:t xml:space="preserve">Dimension</x:t>
  </x:si>
  <x:si>
    <x:t xml:space="preserve">Observed evidence</x:t>
  </x:si>
  <x:si>
    <x:t xml:space="preserve">Bounded improvement</x:t>
  </x:si>
  <x:si>
    <x:t xml:space="preserve">Success metric</x:t>
  </x:si>
  <x:si>
    <x:t xml:space="preserve">Safety guardrail</x:t>
  </x:si>
  <x:si>
    <x:t xml:space="preserve">Effort</x:t>
  </x:si>
  <x:si>
    <x:t xml:space="preserve">P0</x:t>
  </x:si>
  <x:si>
    <x:t xml:space="preserve">Quality + latency</x:t>
  </x:si>
  <x:si>
    <x:t xml:space="preserve">Pass 2 output-limit retry</x:t>
  </x:si>
  <x:si>
    <x:t xml:space="preserve">One chunk hit 8,000 tokens and retried at 12,000; ~113 s retry.</x:t>
  </x:si>
  <x:si>
    <x:t xml:space="preserve">Schema-bounded output, prompt compaction and preflight token budgeting.</x:t>
  </x:si>
  <x:si>
    <x:t xml:space="preserve">Retry rate; p95 Pass 2 latency; contract completeness</x:t>
  </x:si>
  <x:si>
    <x:t xml:space="preserve">Do not reduce evidence coverage or prose quality.</x:t>
  </x:si>
  <x:si>
    <x:t xml:space="preserve">Medium</x:t>
  </x:si>
  <x:si>
    <x:t xml:space="preserve">Proposed</x:t>
  </x:si>
  <x:si>
    <x:t xml:space="preserve">Artifact-health schema drift</x:t>
  </x:si>
  <x:si>
    <x:t xml:space="preserve">Seed/routing/handoff artifacts scored 0/95–50/95 while pipeline continued.</x:t>
  </x:si>
  <x:si>
    <x:t xml:space="preserve">Make producer schemas authoritative; gate only fields required by real consumers; version migrations explicitly.</x:t>
  </x:si>
  <x:si>
    <x:t xml:space="preserve">% artifacts &gt;=95; downstream kickback rate</x:t>
  </x:si>
  <x:si>
    <x:t xml:space="preserve">Avoid false failures from obsolete health schemas.</x:t>
  </x:si>
  <x:si>
    <x:t xml:space="preserve">82/100 evaluation produced 0/13 criterion recommendations and 0 cards.</x:t>
  </x:si>
  <x:si>
    <x:t xml:space="preserve">Calibrate safe-actionability generation and suppression diagnostics using gold-standard manuscripts.</x:t>
  </x:si>
  <x:si>
    <x:t xml:space="preserve">Safe actionable yield; editor acceptance; unsafe escape rate</x:t>
  </x:si>
  <x:si>
    <x:t xml:space="preserve">Never promote unsafe or summary-only advice.</x:t>
  </x:si>
  <x:si>
    <x:t xml:space="preserve">Proof completeness</x:t>
  </x:si>
  <x:si>
    <x:t xml:space="preserve">Held Recovery remains unproven</x:t>
  </x:si>
  <x:si>
    <x:t xml:space="preserve">No held item occurred, so reconstruction/readmission/card decision were not exercised.</x:t>
  </x:si>
  <x:si>
    <x:t xml:space="preserve">Use a deterministic recoverable truncated-anchor fixture for exactly one targeted production proof.</x:t>
  </x:si>
  <x:si>
    <x:t xml:space="preserve">Held→reconstructed→Readmitted success; duplicates=0</x:t>
  </x:si>
  <x:si>
    <x:t xml:space="preserve">Keep exact-job targeting and remove flag immediately.</x:t>
  </x:si>
  <x:si>
    <x:t xml:space="preserve">Next proof</x:t>
  </x:si>
  <x:si>
    <x:t xml:space="preserve">P1</x:t>
  </x:si>
  <x:si>
    <x:t xml:space="preserve">Latency</x:t>
  </x:si>
  <x:si>
    <x:t xml:space="preserve">Derived Phase 3 duration was ~496 s, the largest pipeline segment.</x:t>
  </x:si>
  <x:si>
    <x:t xml:space="preserve">Instrument model, validation and persistence subspans; optimize the dominant measured span.</x:t>
  </x:si>
  <x:si>
    <x:t xml:space="preserve">p50/p95 Phase 3 by subspan</x:t>
  </x:si>
  <x:si>
    <x:t xml:space="preserve">Preserve gates and canonical authority.</x:t>
  </x:si>
  <x:si>
    <x:t xml:space="preserve">Small</x:t>
  </x:si>
  <x:si>
    <x:t xml:space="preserve">Operational friction</x:t>
  </x:si>
  <x:si>
    <x:t xml:space="preserve">Exact-job flag requires redeploy</x:t>
  </x:si>
  <x:si>
    <x:t xml:space="preserve">Hold → env change → redeploy → release → cleanup → redeploy is safe but slow.</x:t>
  </x:si>
  <x:si>
    <x:t xml:space="preserve">Persist a proof-scoped claim/token with existing queue authority and audit expiry.</x:t>
  </x:si>
  <x:si>
    <x:t xml:space="preserve">Proof setup minutes; accidental target count</x:t>
  </x:si>
  <x:si>
    <x:t xml:space="preserve">No general-purpose hold/release abstraction.</x:t>
  </x:si>
  <x:si>
    <x:t xml:space="preserve">Forensics</x:t>
  </x:si>
  <x:si>
    <x:t xml:space="preserve">Missing artifact hashes</x:t>
  </x:si>
  <x:si>
    <x:t xml:space="preserve">Full-context, editorial-dream and Pass 1/2 caches lack row source_hash values.</x:t>
  </x:si>
  <x:si>
    <x:t xml:space="preserve">Require lineage hash or explicit reason code on every persisted artifact.</x:t>
  </x:si>
  <x:si>
    <x:t xml:space="preserve">% artifacts with identity+version+hash</x:t>
  </x:si>
  <x:si>
    <x:t xml:space="preserve">Do not hash manuscript prose into logs.</x:t>
  </x:si>
  <x:si>
    <x:t xml:space="preserve">P2</x:t>
  </x:si>
  <x:si>
    <x:t xml:space="preserve">Repeated configuration logs</x:t>
  </x:si>
  <x:si>
    <x:t xml:space="preserve">Supabase configuration messages add noise without process evidence.</x:t>
  </x:si>
  <x:si>
    <x:t xml:space="preserve">Deduplicate startup logs and emit structured phase duration/correlation fields.</x:t>
  </x:si>
  <x:si>
    <x:t xml:space="preserve">Log volume/job; signal-to-noise</x:t>
  </x:si>
  <x:si>
    <x:t xml:space="preserve">Retain errors, job IDs and gate decisions.</x:t>
  </x:si>
  <x:si>
    <x:t xml:space="preserve">Developer friction</x:t>
  </x:si>
  <x:si>
    <x:t xml:space="preserve">Chromium path on Windows</x:t>
  </x:si>
  <x:si>
    <x:t xml:space="preserve">Presentation tests require a separately configured Chromium executable.</x:t>
  </x:si>
  <x:si>
    <x:t xml:space="preserve">Standardize test runtime bootstrap and document the routed suite.</x:t>
  </x:si>
  <x:si>
    <x:t xml:space="preserve">Local full-suite reproducibility</x:t>
  </x:si>
  <x:si>
    <x:t xml:space="preserve">Environment repair only; no product behavior change.</x:t>
  </x:si>
  <x:si>
    <x:t xml:space="preserve">Done</x:t>
  </x:si>
  <x:si>
    <x:t xml:space="preserve">CI reliability</x:t>
  </x:si>
  <x:si>
    <x:t xml:space="preserve">GitHub 503 transients</x:t>
  </x:si>
  <x:si>
    <x:t xml:space="preserve">Latency/head freshness guards repeatedly failed on retryable GitHub API 503s.</x:t>
  </x:si>
  <x:si>
    <x:t xml:space="preserve">Three bounded retries plus contract preventing removal.</x:t>
  </x:si>
  <x:si>
    <x:t xml:space="preserve">False CI failures from 5xx</x:t>
  </x:si>
  <x:si>
    <x:t xml:space="preserve">4xx/governance violations still fail closed.</x:t>
  </x:si>
  <x:si>
    <x:t xml:space="preserve">Implemented</x:t>
  </x:si>
  <x:si>
    <x:t xml:space="preserve">Identifiers are non-secret. Temporary credentials and environment values are intentionally excluded.</x:t>
  </x:si>
  <x:si>
    <x:t xml:space="preserve">ID</x:t>
  </x:si>
  <x:si>
    <x:t xml:space="preserve">Identifier / link</x:t>
  </x:si>
  <x:si>
    <x:t xml:space="preserve">What it proves</x:t>
  </x:si>
  <x:si>
    <x:t xml:space="preserve">EV-01</x:t>
  </x:si>
  <x:si>
    <x:t xml:space="preserve">PR #1348</x:t>
  </x:si>
  <x:si>
    <x:t xml:space="preserve">https://github.com/Mmeraw/literary-ai-partner/pull/1348</x:t>
  </x:si>
  <x:si>
    <x:t xml:space="preserve">12 files; 286 additions; 6 deletions; all required checks green.</x:t>
  </x:si>
  <x:si>
    <x:t xml:space="preserve">EV-02</x:t>
  </x:si>
  <x:si>
    <x:t xml:space="preserve">Merged commit</x:t>
  </x:si>
  <x:si>
    <x:t xml:space="preserve">Exact production code under proof.</x:t>
  </x:si>
  <x:si>
    <x:t xml:space="preserve">EV-03</x:t>
  </x:si>
  <x:si>
    <x:t xml:space="preserve">Reviewed head</x:t>
  </x:si>
  <x:si>
    <x:t xml:space="preserve">b2cc71ef30dfa273ce219da65bd2d7b848fb299b</x:t>
  </x:si>
  <x:si>
    <x:t xml:space="preserve">Exact PR head before squash merge.</x:t>
  </x:si>
  <x:si>
    <x:t xml:space="preserve">EV-04</x:t>
  </x:si>
  <x:si>
    <x:t xml:space="preserve">Production deployment</x:t>
  </x:si>
  <x:si>
    <x:t xml:space="preserve">dpl_3rCQJmnHWUdJfhvdiFKyoVfdQBow</x:t>
  </x:si>
  <x:si>
    <x:t xml:space="preserve">READY after exact-job flag removal.</x:t>
  </x:si>
  <x:si>
    <x:t xml:space="preserve">EV-05</x:t>
  </x:si>
  <x:si>
    <x:t xml:space="preserve">Production URL</x:t>
  </x:si>
  <x:si>
    <x:t xml:space="preserve">https://www.revisiongrade.com</x:t>
  </x:si>
  <x:si>
    <x:t xml:space="preserve">Health endpoint returned 200.</x:t>
  </x:si>
  <x:si>
    <x:t xml:space="preserve">EV-06</x:t>
  </x:si>
  <x:si>
    <x:t xml:space="preserve">Evaluation job</x:t>
  </x:si>
  <x:si>
    <x:t xml:space="preserve">2a3b7e14-c898-44eb-a85a-e2e6e9980880</x:t>
  </x:si>
  <x:si>
    <x:t xml:space="preserve">Fresh controlled proof run.</x:t>
  </x:si>
  <x:si>
    <x:t xml:space="preserve">EV-07</x:t>
  </x:si>
  <x:si>
    <x:t xml:space="preserve">Manuscript</x:t>
  </x:si>
  <x:si>
    <x:t xml:space="preserve">7764</x:t>
  </x:si>
  <x:si>
    <x:t xml:space="preserve">Held Recovery Live Proof — The River Remembers Blood — Chapter 3.</x:t>
  </x:si>
  <x:si>
    <x:t xml:space="preserve">EV-08</x:t>
  </x:si>
  <x:si>
    <x:t xml:space="preserve">Trace</x:t>
  </x:si>
  <x:si>
    <x:t xml:space="preserve">c9d867c2-212f-447e-9b25-9fad21a2be51</x:t>
  </x:si>
  <x:si>
    <x:t xml:space="preserve">Submission correlation ID.</x:t>
  </x:si>
  <x:si>
    <x:t xml:space="preserve">EV-09</x:t>
  </x:si>
  <x:si>
    <x:t xml:space="preserve">Artifact evidence</x:t>
  </x:si>
  <x:si>
    <x:t xml:space="preserve">proof-forensics.json</x:t>
  </x:si>
  <x:si>
    <x:t xml:space="preserve">23 persisted evaluation artifacts and derived metrics.</x:t>
  </x:si>
  <x:si>
    <x:t xml:space="preserve">EV-10</x:t>
  </x:si>
  <x:si>
    <x:t xml:space="preserve">Revise ledger row</x:t>
  </x:si>
  <x:si>
    <x:t xml:space="preserve">One canonical_full row; zero canonical/rendered opportunities.</x:t>
  </x:si>
  <x:si>
    <x:t xml:space="preserve">EV-11</x:t>
  </x:si>
  <x:si>
    <x:t xml:space="preserve">Workbench route</x:t>
  </x:si>
  <x:si>
    <x:t xml:space="preserve">https://www.revisiongrade.com/workbench-v2?manuscriptId=7764&amp;evaluationJobId=2a3b7e14-c898-44eb-a85a-e2e6e9980880</x:t>
  </x:si>
  <x:si>
    <x:t xml:space="preserve">Authenticated empty-state proof and reload.</x:t>
  </x:si>
  <x:si>
    <x:t xml:space="preserve">EV-12</x:t>
  </x:si>
  <x:si>
    <x:t xml:space="preserve">CI evidence</x:t>
  </x:si>
  <x:si>
    <x:t xml:space="preserve">26 passed; 3 skipped; 0 failed</x:t>
  </x:si>
  <x:si>
    <x:t xml:space="preserve">Linux CI, guards, proof pack and alignment succeeded.</x:t>
  </x:si>
</x:sst>
</file>

<file path=xl/styles.xml><?xml version="1.0" encoding="utf-8"?>
<x:styleSheet xmlns:x="http://schemas.openxmlformats.org/spreadsheetml/2006/main">
  <x:numFmts count="3">
    <x:numFmt numFmtId="164" formatCode="yyyy\-mm\-dd\ hh:mm:ss"/>
    <x:numFmt numFmtId="200" formatCode="0.00"/>
    <x:numFmt numFmtId="201" formatCode="0.0%"/>
  </x:numFmts>
  <x:fonts count="26">
    <x:font>
      <x:sz val="11"/>
      <x:name val="Carlito"/>
    </x:font>
    <x:font>
      <x:b/>
      <x:sz val="18"/>
      <x:color rgb="FFE9DDBB"/>
      <x:name val="Carlito"/>
    </x:font>
    <x:font>
      <x:i/>
      <x:sz val="10"/>
      <x:color rgb="FF705719"/>
      <x:name val="Carlito"/>
    </x:font>
    <x:font>
      <x:b/>
      <x:sz val="9"/>
      <x:color rgb="FFFFFFFF"/>
      <x:name val="Carlito"/>
    </x:font>
    <x:font>
      <x:sz val="9"/>
      <x:color rgb="FF241B12"/>
      <x:name val="Carlito"/>
    </x:font>
    <x:font>
      <x:b/>
      <x:sz val="11"/>
      <x:color rgb="FF241B12"/>
      <x:name val="Carlito"/>
    </x:font>
    <x:font>
      <x:b/>
      <x:sz val="12"/>
      <x:color rgb="FF241B12"/>
      <x:name val="Carlito"/>
    </x:font>
    <x:font>
      <x:sz val="11"/>
      <x:color rgb="FF241B12"/>
      <x:name val="Carlito"/>
    </x:font>
    <x:font>
      <x:sz val="11"/>
      <x:color rgb="FF244E75"/>
      <x:name val="Carlito"/>
    </x:font>
    <x:font>
      <x:sz val="12"/>
      <x:name val="Times New Roman"/>
    </x:font>
    <x:font>
      <x:b/>
      <x:sz val="12"/>
      <x:name val="Times New Roman"/>
    </x:font>
    <x:font>
      <x:sz val="10"/>
      <x:name val="Courier New"/>
    </x:font>
    <x:font>
      <x:sz val="12"/>
      <x:name val="Segoe UI Emoji"/>
    </x:font>
    <x:font>
      <x:b/>
      <x:sz val="13"/>
      <x:name val="Times New Roman"/>
    </x:font>
    <x:font>
      <x:b/>
      <x:sz val="18"/>
      <x:name val="Times New Roman"/>
    </x:font>
    <x:font>
      <x:sz val="8"/>
      <x:name val="Arial"/>
    </x:font>
    <x:font>
      <x:sz val="10"/>
      <x:name val="Arial Unicode MS"/>
    </x:font>
    <x:font>
      <x:b/>
      <x:sz val="11"/>
      <x:name val="Carlito"/>
    </x:font>
    <x:font>
      <x:b/>
      <x:sz val="13"/>
      <x:name val="Carlito"/>
    </x:font>
    <x:font>
      <x:i/>
      <x:sz val="11"/>
      <x:name val="Carlito"/>
    </x:font>
    <x:font>
      <x:b/>
      <x:sz val="18"/>
      <x:name val="Carlito"/>
    </x:font>
    <x:font>
      <x:b/>
      <x:sz val="16"/>
      <x:color rgb="FFFFFFFF"/>
      <x:name val="Carlito"/>
    </x:font>
    <x:font>
      <x:i/>
      <x:sz val="11"/>
      <x:color rgb="FF5B2C2C"/>
      <x:name val="Carlito"/>
    </x:font>
    <x:font>
      <x:b/>
      <x:sz val="11"/>
      <x:color rgb="FFFFFFFF"/>
      <x:name val="Carlito"/>
    </x:font>
    <x:font>
      <x:b/>
      <x:sz val="10"/>
      <x:color rgb="FFFFFFFF"/>
      <x:name val="Aptos"/>
    </x:font>
    <x:font>
      <x:b/>
      <x:sz val="16"/>
      <x:color rgb="FFFFFFFF"/>
      <x:name val="Aptos"/>
    </x:font>
  </x:fonts>
  <x:fills count="15">
    <x:fill>
      <x:patternFill patternType="none"/>
    </x:fill>
    <x:fill>
      <x:patternFill patternType="gray125"/>
    </x:fill>
    <x:fill>
      <x:patternFill patternType="solid">
        <x:fgColor rgb="FF241B12"/>
      </x:patternFill>
    </x:fill>
    <x:fill>
      <x:patternFill patternType="solid">
        <x:fgColor rgb="FFF7F1E3"/>
      </x:patternFill>
    </x:fill>
    <x:fill>
      <x:patternFill patternType="solid">
        <x:fgColor rgb="FF705719"/>
      </x:patternFill>
    </x:fill>
    <x:fill>
      <x:patternFill patternType="solid">
        <x:fgColor rgb="FFE9DDBB"/>
      </x:patternFill>
    </x:fill>
    <x:fill>
      <x:patternFill patternType="solid">
        <x:fgColor rgb="FFE1ECF7"/>
      </x:patternFill>
    </x:fill>
    <x:fill>
      <x:patternFill patternType="solid">
        <x:fgColor rgb="FFFBF8F0"/>
      </x:patternFill>
    </x:fill>
    <x:fill>
      <x:patternFill patternType="solid">
        <x:fgColor rgb="FFFF0000"/>
      </x:patternFill>
    </x:fill>
    <x:fill>
      <x:patternFill patternType="solid">
        <x:fgColor rgb="FF5B2C2C"/>
      </x:patternFill>
    </x:fill>
    <x:fill>
      <x:patternFill patternType="solid">
        <x:fgColor rgb="FFF3E8DC"/>
      </x:patternFill>
    </x:fill>
    <x:fill>
      <x:patternFill patternType="solid">
        <x:fgColor rgb="FFC8A951"/>
      </x:patternFill>
    </x:fill>
    <x:fill>
      <x:patternFill patternType="solid">
        <x:fgColor rgb="FF5B2C2C"/>
      </x:patternFill>
    </x:fill>
    <x:fill>
      <x:patternFill patternType="solid">
        <x:fgColor rgb="FFF3E8DC"/>
      </x:patternFill>
    </x:fill>
    <x:fill>
      <x:patternFill patternType="solid">
        <x:fgColor rgb="FFC8A951"/>
      </x:patternFill>
    </x:fill>
  </x:fills>
  <x:borders count="23">
    <x:border/>
    <x:border>
      <x:right style="thin">
        <x:color rgb="FFE9DDBB"/>
      </x:right>
    </x:border>
    <x:border>
      <x:left style="thin">
        <x:color rgb="FFE9DDBB"/>
      </x:left>
      <x:right style="thin">
        <x:color rgb="FFE9DDBB"/>
      </x:right>
    </x:border>
    <x:border>
      <x:left style="thin">
        <x:color rgb="FFE9DDBB"/>
      </x:left>
    </x:border>
    <x:border>
      <x:bottom style="thin">
        <x:color rgb="FFDED7C7"/>
      </x:bottom>
    </x:border>
    <x:border>
      <x:top style="thin">
        <x:color rgb="FFDED7C7"/>
      </x:top>
      <x:bottom style="thin">
        <x:color rgb="FFDED7C7"/>
      </x:bottom>
    </x:border>
    <x:border>
      <x:top style="thin">
        <x:color rgb="FFDED7C7"/>
      </x:top>
    </x:border>
    <x:border>
      <x:bottom style="double">
        <x:color rgb="FFB08D2F"/>
      </x:bottom>
    </x:border>
    <x:border>
      <x:bottom style="thin">
        <x:color rgb="FFE9DDBB"/>
      </x:bottom>
    </x:border>
    <x:border>
      <x:top style="thin">
        <x:color rgb="FFE9DDBB"/>
      </x:top>
      <x:bottom style="thin">
        <x:color rgb="FFE9DDBB"/>
      </x:bottom>
    </x:border>
    <x:border>
      <x:top style="thin">
        <x:color rgb="FFE9DDBB"/>
      </x:top>
    </x:border>
    <x:border>
      <x:bottom style="thin">
        <x:color rgb="FFBFD1E3"/>
      </x:bottom>
    </x:border>
    <x:border>
      <x:top style="thin">
        <x:color rgb="FFBFD1E3"/>
      </x:top>
      <x:bottom style="thin">
        <x:color rgb="FFBFD1E3"/>
      </x:bottom>
    </x:border>
    <x:border>
      <x:top style="thin">
        <x:color rgb="FFBFD1E3"/>
      </x:top>
    </x:border>
    <x:border>
      <x:right style="thin">
        <x:color rgb="FFD8CDBE"/>
      </x:right>
      <x:bottom style="thin">
        <x:color rgb="FFD8CDBE"/>
      </x:bottom>
    </x:border>
    <x:border>
      <x:left style="thin">
        <x:color rgb="FFD8CDBE"/>
      </x:left>
      <x:right style="thin">
        <x:color rgb="FFD8CDBE"/>
      </x:right>
      <x:bottom style="thin">
        <x:color rgb="FFD8CDBE"/>
      </x:bottom>
    </x:border>
    <x:border>
      <x:left style="thin">
        <x:color rgb="FFD8CDBE"/>
      </x:left>
      <x:bottom style="thin">
        <x:color rgb="FFD8CDBE"/>
      </x:bottom>
    </x:border>
    <x:border>
      <x:right style="thin">
        <x:color rgb="FFD8CDBE"/>
      </x:right>
      <x:top style="thin">
        <x:color rgb="FFD8CDBE"/>
      </x:top>
      <x:bottom style="thin">
        <x:color rgb="FFD8CDBE"/>
      </x:bottom>
    </x:border>
    <x:border>
      <x:left style="thin">
        <x:color rgb="FFD8CDBE"/>
      </x:left>
      <x:right style="thin">
        <x:color rgb="FFD8CDBE"/>
      </x:right>
      <x:top style="thin">
        <x:color rgb="FFD8CDBE"/>
      </x:top>
      <x:bottom style="thin">
        <x:color rgb="FFD8CDBE"/>
      </x:bottom>
    </x:border>
    <x:border>
      <x:left style="thin">
        <x:color rgb="FFD8CDBE"/>
      </x:left>
      <x:top style="thin">
        <x:color rgb="FFD8CDBE"/>
      </x:top>
      <x:bottom style="thin">
        <x:color rgb="FFD8CDBE"/>
      </x:bottom>
    </x:border>
    <x:border>
      <x:right style="thin">
        <x:color rgb="FFD8CDBE"/>
      </x:right>
      <x:top style="thin">
        <x:color rgb="FFD8CDBE"/>
      </x:top>
    </x:border>
    <x:border>
      <x:left style="thin">
        <x:color rgb="FFD8CDBE"/>
      </x:left>
      <x:right style="thin">
        <x:color rgb="FFD8CDBE"/>
      </x:right>
      <x:top style="thin">
        <x:color rgb="FFD8CDBE"/>
      </x:top>
    </x:border>
    <x:border>
      <x:left style="thin">
        <x:color rgb="FFD8CDBE"/>
      </x:left>
      <x:top style="thin">
        <x:color rgb="FFD8CDBE"/>
      </x:top>
    </x:border>
  </x:borders>
  <x:cellStyleXfs count="1">
    <x:xf numFmtId="0" fontId="0" fillId="0" borderId="0"/>
  </x:cellStyleXfs>
  <x:cellXfs count="121">
    <x:xf numFmtId="0" fontId="0" fillId="0" borderId="0" xfId="0"/>
    <x:xf numFmtId="0" fontId="3" fillId="4" borderId="1" xfId="0" applyFont="1" applyFill="1" applyBorder="1" applyAlignment="1">
      <x:alignment vertical="center" wrapText="1"/>
    </x:xf>
    <x:xf numFmtId="0" fontId="3" fillId="4" borderId="2" xfId="0" applyFont="1" applyFill="1" applyBorder="1" applyAlignment="1">
      <x:alignment vertical="center" wrapText="1"/>
    </x:xf>
    <x:xf numFmtId="0" fontId="3" fillId="4" borderId="3" xfId="0" applyFont="1" applyFill="1" applyBorder="1" applyAlignment="1">
      <x:alignment vertical="center" wrapText="1"/>
    </x:xf>
    <x:xf numFmtId="0" fontId="4" fillId="0" borderId="4" xfId="0" applyFont="1" applyBorder="1" applyAlignment="1">
      <x:alignment vertical="top" wrapText="1"/>
    </x:xf>
    <x:xf numFmtId="0" fontId="4" fillId="0" borderId="5" xfId="0" applyFont="1" applyBorder="1" applyAlignment="1">
      <x:alignment vertical="top" wrapText="1"/>
    </x:xf>
    <x:xf numFmtId="0" fontId="4" fillId="0" borderId="6" xfId="0" applyFont="1" applyBorder="1" applyAlignment="1">
      <x:alignment vertical="top" wrapText="1"/>
    </x:xf>
    <x:xf numFmtId="9" fontId="4" fillId="0" borderId="4" xfId="0" applyNumberFormat="1" applyFont="1" applyBorder="1" applyAlignment="1">
      <x:alignment vertical="top" wrapText="1"/>
    </x:xf>
    <x:xf numFmtId="9" fontId="4" fillId="0" borderId="5" xfId="0" applyNumberFormat="1" applyFont="1" applyBorder="1" applyAlignment="1">
      <x:alignment vertical="top" wrapText="1"/>
    </x:xf>
    <x:xf numFmtId="9" fontId="4" fillId="0" borderId="6" xfId="0" applyNumberFormat="1" applyFont="1" applyBorder="1" applyAlignment="1">
      <x:alignment vertical="top" wrapText="1"/>
    </x:xf>
    <x:xf numFmtId="1" fontId="4" fillId="0" borderId="5" xfId="0" applyNumberFormat="1" applyFont="1" applyBorder="1" applyAlignment="1">
      <x:alignment vertical="top" wrapText="1"/>
    </x:xf>
    <x:xf numFmtId="1" fontId="4" fillId="0" borderId="6" xfId="0" applyNumberFormat="1" applyFont="1" applyBorder="1" applyAlignment="1">
      <x:alignment vertical="top" wrapText="1"/>
    </x:xf>
    <x:xf numFmtId="164" fontId="4" fillId="0" borderId="5" xfId="0" applyNumberFormat="1" applyFont="1" applyBorder="1" applyAlignment="1">
      <x:alignment vertical="top" wrapText="1"/>
    </x:xf>
    <x:xf numFmtId="164" fontId="4" fillId="0" borderId="6" xfId="0" applyNumberFormat="1" applyFont="1" applyBorder="1" applyAlignment="1">
      <x:alignment vertical="top" wrapText="1"/>
    </x:xf>
    <x:xf numFmtId="0" fontId="6" fillId="3" borderId="0" xfId="0" applyFont="1" applyFill="1" applyAlignment="1">
      <x:alignment horizontal="center" vertical="center" wrapText="1"/>
    </x:xf>
    <x:xf numFmtId="0" fontId="4" fillId="7" borderId="4" xfId="0" applyFont="1" applyFill="1" applyBorder="1" applyAlignment="1">
      <x:alignment vertical="top" wrapText="1"/>
    </x:xf>
    <x:xf numFmtId="1" fontId="4" fillId="7" borderId="4" xfId="0" applyNumberFormat="1" applyFont="1" applyFill="1" applyBorder="1" applyAlignment="1">
      <x:alignment vertical="top" wrapText="1"/>
    </x:xf>
    <x:xf numFmtId="9" fontId="4" fillId="7" borderId="4" xfId="0" applyNumberFormat="1" applyFont="1" applyFill="1" applyBorder="1" applyAlignment="1">
      <x:alignment vertical="top" wrapText="1"/>
    </x:xf>
    <x:xf numFmtId="164" fontId="4" fillId="7" borderId="4" xfId="0" applyNumberFormat="1" applyFont="1" applyFill="1" applyBorder="1" applyAlignment="1">
      <x:alignment vertical="top" wrapText="1"/>
    </x:xf>
    <x:xf numFmtId="0" fontId="4" fillId="7" borderId="5" xfId="0" applyFont="1" applyFill="1" applyBorder="1" applyAlignment="1">
      <x:alignment vertical="top" wrapText="1"/>
    </x:xf>
    <x:xf numFmtId="1" fontId="4" fillId="7" borderId="5" xfId="0" applyNumberFormat="1" applyFont="1" applyFill="1" applyBorder="1" applyAlignment="1">
      <x:alignment vertical="top" wrapText="1"/>
    </x:xf>
    <x:xf numFmtId="9" fontId="4" fillId="7" borderId="5" xfId="0" applyNumberFormat="1" applyFont="1" applyFill="1" applyBorder="1" applyAlignment="1">
      <x:alignment vertical="top" wrapText="1"/>
    </x:xf>
    <x:xf numFmtId="164" fontId="4" fillId="7" borderId="5" xfId="0" applyNumberFormat="1" applyFont="1" applyFill="1" applyBorder="1" applyAlignment="1">
      <x:alignment vertical="top" wrapText="1"/>
    </x:xf>
    <x:xf numFmtId="0" fontId="4" fillId="7" borderId="6" xfId="0" applyFont="1" applyFill="1" applyBorder="1" applyAlignment="1">
      <x:alignment vertical="top" wrapText="1"/>
    </x:xf>
    <x:xf numFmtId="0" fontId="1" fillId="2" borderId="0" xfId="0" applyFont="1" applyFill="1" applyAlignment="1">
      <x:alignment vertical="center"/>
    </x:xf>
    <x:xf numFmtId="0" fontId="2" fillId="3" borderId="0" xfId="0" applyFont="1" applyFill="1" applyAlignment="1">
      <x:alignment vertical="center" wrapText="1"/>
    </x:xf>
    <x:xf numFmtId="0" fontId="5" fillId="5" borderId="7" xfId="0" applyFont="1" applyFill="1" applyBorder="1" applyAlignment="1">
      <x:alignment vertical="center"/>
    </x:xf>
    <x:xf numFmtId="0" fontId="7" fillId="3" borderId="8" xfId="0" applyFont="1" applyFill="1" applyBorder="1" applyAlignment="1">
      <x:alignment wrapText="1"/>
    </x:xf>
    <x:xf numFmtId="0" fontId="7" fillId="3" borderId="9" xfId="0" applyFont="1" applyFill="1" applyBorder="1" applyAlignment="1">
      <x:alignment wrapText="1"/>
    </x:xf>
    <x:xf numFmtId="0" fontId="7" fillId="3" borderId="10" xfId="0" applyFont="1" applyFill="1" applyBorder="1" applyAlignment="1">
      <x:alignment wrapText="1"/>
    </x:xf>
    <x:xf numFmtId="0" fontId="8" fillId="6" borderId="11" xfId="0" applyFont="1" applyFill="1" applyBorder="1" applyAlignment="1">
      <x:alignment wrapText="1"/>
    </x:xf>
    <x:xf numFmtId="0" fontId="8" fillId="6" borderId="12" xfId="0" applyFont="1" applyFill="1" applyBorder="1" applyAlignment="1">
      <x:alignment wrapText="1"/>
    </x:xf>
    <x:xf numFmtId="0" fontId="8" fillId="6" borderId="13" xfId="0" applyFont="1" applyFill="1" applyBorder="1" applyAlignment="1">
      <x:alignment wrapText="1"/>
    </x:xf>
    <x:xf numFmtId="0" fontId="4" fillId="8" borderId="5" xfId="0" applyFont="1" applyFill="1" applyBorder="1" applyAlignment="1">
      <x:alignment vertical="top" wrapText="1"/>
    </x:xf>
    <x:xf numFmtId="0" fontId="10" fillId="0" borderId="0" xfId="0" applyFont="1" applyAlignment="1">
      <x:alignment vertical="center"/>
    </x:xf>
    <x:xf numFmtId="0" fontId="9" fillId="0" borderId="0" xfId="0" applyFont="1" applyAlignment="1">
      <x:alignment vertical="center"/>
    </x:xf>
    <x:xf numFmtId="0" fontId="0" fillId="0" borderId="0" xfId="0" applyAlignment="1">
      <x:alignment horizontal="left" vertical="center"/>
    </x:xf>
    <x:xf numFmtId="0" fontId="10" fillId="0" borderId="0" xfId="0" applyFont="1" applyAlignment="1">
      <x:alignment horizontal="left" vertical="center"/>
    </x:xf>
    <x:xf numFmtId="0" fontId="9" fillId="0" borderId="0" xfId="0" applyFont="1" applyAlignment="1">
      <x:alignment horizontal="left" vertical="center"/>
    </x:xf>
    <x:xf numFmtId="0" fontId="13" fillId="0" borderId="0" xfId="0" applyFont="1" applyAlignment="1">
      <x:alignment vertical="center"/>
    </x:xf>
    <x:xf numFmtId="0" fontId="10" fillId="0" borderId="0" xfId="0" applyFont="1" applyAlignment="1">
      <x:alignment horizontal="center" vertical="center" wrapText="1"/>
    </x:xf>
    <x:xf numFmtId="0" fontId="0" fillId="0" borderId="0" xfId="0" applyAlignment="1">
      <x:alignment vertical="center" wrapText="1"/>
    </x:xf>
    <x:xf numFmtId="0" fontId="10" fillId="0" borderId="0" xfId="0" applyFont="1" applyAlignment="1">
      <x:alignment vertical="center" wrapText="1"/>
    </x:xf>
    <x:xf numFmtId="0" fontId="9" fillId="0" borderId="0" xfId="0" applyFont="1" applyAlignment="1">
      <x:alignment vertical="center" wrapText="1"/>
    </x:xf>
    <x:xf numFmtId="0" fontId="14" fillId="0" borderId="0" xfId="0" applyFont="1" applyAlignment="1">
      <x:alignment vertical="center"/>
    </x:xf>
    <x:xf numFmtId="0" fontId="15" fillId="0" borderId="0" xfId="0" applyFont="1" applyAlignment="1">
      <x:alignment horizontal="center" vertical="center"/>
    </x:xf>
    <x:xf numFmtId="18" fontId="0" fillId="0" borderId="0" xfId="0" applyNumberFormat="1"/>
    <x:xf numFmtId="0" fontId="17" fillId="0" borderId="0" xfId="0" applyFont="1"/>
    <x:xf numFmtId="0" fontId="18" fillId="0" borderId="0" xfId="0" applyFont="1" applyAlignment="1">
      <x:alignment vertical="center"/>
    </x:xf>
    <x:xf numFmtId="0" fontId="19" fillId="0" borderId="0" xfId="0" applyFont="1" applyAlignment="1">
      <x:alignment horizontal="left" vertical="center"/>
    </x:xf>
    <x:xf numFmtId="0" fontId="17" fillId="0" borderId="0" xfId="0" applyFont="1" applyAlignment="1">
      <x:alignment horizontal="left" vertical="center"/>
    </x:xf>
    <x:xf numFmtId="0" fontId="20" fillId="0" borderId="0" xfId="0" applyFont="1" applyAlignment="1">
      <x:alignment vertical="center"/>
    </x:xf>
    <x:xf numFmtId="0" fontId="17" fillId="0" borderId="0" xfId="0" applyFont="1" applyAlignment="1">
      <x:alignment horizontal="center" vertical="center" wrapText="1"/>
    </x:xf>
    <x:xf numFmtId="0" fontId="17" fillId="0" borderId="0" xfId="0" applyFont="1" applyAlignment="1">
      <x:alignment vertical="center" wrapText="1"/>
    </x:xf>
    <x:xf numFmtId="0" fontId="0" fillId="0" borderId="0" xfId="0" applyAlignment="1">
      <x:alignment horizontal="left" vertical="center"/>
    </x:xf>
    <x:xf numFmtId="0" fontId="16" fillId="0" borderId="0" xfId="0" applyFont="1"/>
    <x:xf numFmtId="0" fontId="0" fillId="9" borderId="0" xfId="0" applyNumberFormat="1" applyFont="1" applyFill="1" applyBorder="1"/>
    <x:xf numFmtId="0" fontId="21" fillId="9" borderId="0" xfId="0" applyNumberFormat="1" applyFont="1" applyFill="1" applyBorder="1"/>
    <x:xf numFmtId="0" fontId="0" fillId="10" borderId="0" xfId="0" applyNumberFormat="1" applyFont="1" applyFill="1" applyBorder="1"/>
    <x:xf numFmtId="0" fontId="22" fillId="10" borderId="0" xfId="0" applyNumberFormat="1" applyFont="1" applyFill="1" applyBorder="1"/>
    <x:xf numFmtId="0" fontId="22" fillId="10" borderId="0" xfId="0" applyNumberFormat="1" applyFont="1" applyFill="1" applyBorder="1" applyAlignment="1">
      <x:alignment wrapText="1"/>
    </x:xf>
    <x:xf numFmtId="0" fontId="0" fillId="11" borderId="0" xfId="0" applyNumberFormat="1" applyFont="1" applyFill="1" applyBorder="1"/>
    <x:xf numFmtId="0" fontId="23" fillId="11" borderId="0" xfId="0" applyNumberFormat="1" applyFont="1" applyFill="1" applyBorder="1"/>
    <x:xf numFmtId="0" fontId="23" fillId="11" borderId="0" xfId="0" applyNumberFormat="1" applyFont="1" applyFill="1" applyBorder="1" applyAlignment="1">
      <x:alignment wrapText="1"/>
    </x:xf>
    <x:xf numFmtId="200" fontId="0" fillId="0" borderId="0" xfId="0" applyNumberFormat="1" applyFont="1" applyFill="1" applyBorder="1"/>
    <x:xf numFmtId="201" fontId="0" fillId="0" borderId="0" xfId="0" applyNumberFormat="1" applyFont="1" applyFill="1" applyBorder="1"/>
    <x:xf numFmtId="0" fontId="0" fillId="0" borderId="14" xfId="0" applyNumberFormat="1" applyFont="1" applyFill="1" applyBorder="1"/>
    <x:xf numFmtId="0" fontId="0" fillId="0" borderId="15" xfId="0" applyNumberFormat="1" applyFont="1" applyFill="1" applyBorder="1"/>
    <x:xf numFmtId="200" fontId="0" fillId="0" borderId="15" xfId="0" applyNumberFormat="1" applyFont="1" applyFill="1" applyBorder="1"/>
    <x:xf numFmtId="201"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200" fontId="0" fillId="0" borderId="18" xfId="0" applyNumberFormat="1" applyFont="1" applyFill="1" applyBorder="1"/>
    <x:xf numFmtId="201"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200" fontId="0" fillId="0" borderId="21" xfId="0" applyNumberFormat="1" applyFont="1" applyFill="1" applyBorder="1"/>
    <x:xf numFmtId="201" fontId="0" fillId="0" borderId="21" xfId="0" applyNumberFormat="1" applyFont="1" applyFill="1" applyBorder="1"/>
    <x:xf numFmtId="0" fontId="0" fillId="0" borderId="22" xfId="0" applyNumberFormat="1" applyFont="1" applyFill="1" applyBorder="1"/>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200" fontId="0" fillId="0" borderId="15" xfId="0" applyNumberFormat="1" applyFont="1" applyFill="1" applyBorder="1" applyAlignment="1">
      <x:alignment wrapText="1"/>
    </x:xf>
    <x:xf numFmtId="201"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200" fontId="0" fillId="0" borderId="18" xfId="0" applyNumberFormat="1" applyFont="1" applyFill="1" applyBorder="1" applyAlignment="1">
      <x:alignment wrapText="1"/>
    </x:xf>
    <x:xf numFmtId="201"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200" fontId="0" fillId="0" borderId="21" xfId="0" applyNumberFormat="1" applyFont="1" applyFill="1" applyBorder="1" applyAlignment="1">
      <x:alignment wrapText="1"/>
    </x:xf>
    <x:xf numFmtId="201"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201"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200" fontId="0" fillId="0" borderId="18" xfId="0" applyNumberFormat="1" applyFont="1" applyFill="1" applyBorder="1" applyAlignment="1">
      <x:alignment vertical="top" wrapText="1"/>
    </x:xf>
    <x:xf numFmtId="201"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200" fontId="0" fillId="0" borderId="21" xfId="0" applyNumberFormat="1" applyFont="1" applyFill="1" applyBorder="1" applyAlignment="1">
      <x:alignment vertical="top" wrapText="1"/>
    </x:xf>
    <x:xf numFmtId="201"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23" fillId="9" borderId="0" xfId="0" applyNumberFormat="1" applyFont="1" applyFill="1" applyBorder="1"/>
    <x:xf numFmtId="0" fontId="24" fillId="9" borderId="0" xfId="0" applyNumberFormat="1" applyFont="1" applyFill="1" applyBorder="1"/>
    <x:xf numFmtId="0" fontId="24" fillId="9" borderId="0" xfId="0" applyNumberFormat="1" applyFont="1" applyFill="1" applyBorder="1" applyAlignment="1">
      <x:alignment wrapText="1"/>
    </x:xf>
    <x:xf numFmtId="0" fontId="0" fillId="0" borderId="0" xfId="0" applyNumberFormat="1" applyFont="1" applyFill="1" applyBorder="1" applyAlignment="1">
      <x:alignment wrapText="1"/>
    </x:xf>
    <x:xf numFmtId="0" fontId="23" fillId="9" borderId="0" xfId="0" applyNumberFormat="1" applyFont="1" applyFill="1" applyBorder="1" applyAlignment="1">
      <x:alignment wrapText="1"/>
    </x:xf>
    <x:xf numFmtId="0" fontId="24" fillId="12" borderId="0" xfId="0" applyNumberFormat="1" applyFont="1" applyFill="1" applyBorder="1" applyAlignment="1">
      <x:alignment wrapText="1"/>
    </x:xf>
    <x:xf numFmtId="0" fontId="25" fillId="12" borderId="0" xfId="0" applyNumberFormat="1" applyFont="1" applyFill="1" applyBorder="1" applyAlignment="1">
      <x:alignment wrapText="1"/>
    </x:xf>
    <x:xf numFmtId="0" fontId="22" fillId="13" borderId="0" xfId="0" applyNumberFormat="1" applyFont="1" applyFill="1" applyBorder="1" applyAlignment="1">
      <x:alignment wrapText="1"/>
    </x:xf>
    <x:xf numFmtId="0" fontId="23" fillId="14" borderId="0" xfId="0" applyNumberFormat="1" applyFont="1" applyFill="1" applyBorder="1" applyAlignment="1">
      <x:alignment wrapText="1"/>
    </x:xf>
    <x:xf numFmtId="0" fontId="23" fillId="12" borderId="0" xfId="0" applyNumberFormat="1" applyFont="1" applyFill="1" applyBorder="1" applyAlignment="1">
      <x:alignment wrapText="1"/>
    </x:xf>
  </x:cellXfs>
  <x:cellStyles count="1">
    <x:cellStyle name="Normal" xfId="0"/>
  </x:cellStyles>
  <x:dxfs count="24">
    <x:dxf>
      <x:font>
        <x:b/>
        <x:color rgb="FF8A2D29"/>
      </x:font>
      <x:fill>
        <x:patternFill>
          <x:bgColor rgb="FFF7DEDC"/>
        </x:patternFill>
      </x:fill>
    </x:dxf>
    <x:dxf>
      <x:font>
        <x:b/>
        <x:color rgb="FF7A4E00"/>
      </x:font>
      <x:fill>
        <x:patternFill>
          <x:bgColor rgb="FFFFF1CF"/>
        </x:patternFill>
      </x:fill>
    </x:dxf>
    <x:dxf>
      <x:font>
        <x:b/>
        <x:color rgb="FF235A35"/>
      </x:font>
      <x:fill>
        <x:patternFill>
          <x:bgColor rgb="FFE4F2E8"/>
        </x:patternFill>
      </x:fill>
    </x:dxf>
    <x:dxf>
      <x:font>
        <x:b/>
        <x:color rgb="FF8A2D29"/>
      </x:font>
      <x:fill>
        <x:patternFill>
          <x:bgColor rgb="FFF7DEDC"/>
        </x:patternFill>
      </x:fill>
    </x:dxf>
    <x:dxf>
      <x:font>
        <x:b/>
        <x:color rgb="FF7A4E00"/>
      </x:font>
      <x:fill>
        <x:patternFill>
          <x:bgColor rgb="FFFFF1CF"/>
        </x:patternFill>
      </x:fill>
    </x:dxf>
    <x:dxf>
      <x:font>
        <x:b/>
        <x:color rgb="FF235A35"/>
      </x:font>
      <x:fill>
        <x:patternFill>
          <x:bgColor rgb="FFE4F2E8"/>
        </x:patternFill>
      </x:fill>
    </x:dxf>
    <x:dxf>
      <x:font>
        <x:b/>
        <x:color rgb="FF8A2D29"/>
      </x:font>
      <x:fill>
        <x:patternFill>
          <x:bgColor rgb="FFF7DEDC"/>
        </x:patternFill>
      </x:fill>
    </x:dxf>
    <x:dxf>
      <x:font>
        <x:b/>
        <x:color rgb="FF7A4E00"/>
      </x:font>
      <x:fill>
        <x:patternFill>
          <x:bgColor rgb="FFFFF1CF"/>
        </x:patternFill>
      </x:fill>
    </x:dxf>
    <x:dxf>
      <x:font>
        <x:b/>
        <x:color rgb="FF235A35"/>
      </x:font>
      <x:fill>
        <x:patternFill>
          <x:bgColor rgb="FFE4F2E8"/>
        </x:patternFill>
      </x:fill>
    </x:dxf>
    <x:dxf>
      <x:font>
        <x:color rgb="FF235A35"/>
      </x:font>
      <x:fill>
        <x:patternFill>
          <x:bgColor rgb="FFE4F2E8"/>
        </x:patternFill>
      </x:fill>
    </x:dxf>
    <x:dxf>
      <x:font>
        <x:color rgb="FF7A4E00"/>
      </x:font>
      <x:fill>
        <x:patternFill>
          <x:bgColor rgb="FFFFF1CF"/>
        </x:patternFill>
      </x:fill>
    </x:dxf>
    <x:dxf>
      <x:font>
        <x:color rgb="FF8A2D29"/>
      </x:font>
      <x:fill>
        <x:patternFill>
          <x:bgColor rgb="FFF7DEDC"/>
        </x:patternFill>
      </x:fill>
    </x:dxf>
    <x:dxf>
      <x:font>
        <x:b/>
        <x:color rgb="FF8A2D29"/>
      </x:font>
      <x:fill>
        <x:patternFill>
          <x:bgColor rgb="FFF7DEDC"/>
        </x:patternFill>
      </x:fill>
    </x:dxf>
    <x:dxf>
      <x:font>
        <x:b/>
        <x:color rgb="FF7A4E00"/>
      </x:font>
      <x:fill>
        <x:patternFill>
          <x:bgColor rgb="FFFFF1CF"/>
        </x:patternFill>
      </x:fill>
    </x:dxf>
    <x:dxf>
      <x:font>
        <x:b/>
        <x:color rgb="FF235A35"/>
      </x:font>
      <x:fill>
        <x:patternFill>
          <x:bgColor rgb="FFE4F2E8"/>
        </x:patternFill>
      </x:fill>
    </x:dxf>
    <x:dxf>
      <x:font>
        <x:color rgb="FF235A35"/>
      </x:font>
      <x:fill>
        <x:patternFill>
          <x:bgColor rgb="FFE4F2E8"/>
        </x:patternFill>
      </x:fill>
    </x:dxf>
    <x:dxf>
      <x:font>
        <x:color rgb="FF7A4E00"/>
      </x:font>
      <x:fill>
        <x:patternFill>
          <x:bgColor rgb="FFFFF1CF"/>
        </x:patternFill>
      </x:fill>
    </x:dxf>
    <x:dxf>
      <x:font>
        <x:color rgb="FF8A2D29"/>
      </x:font>
      <x:fill>
        <x:patternFill>
          <x:bgColor rgb="FFF7DEDC"/>
        </x:patternFill>
      </x:fill>
    </x:dxf>
    <x:dxf>
      <x:font>
        <x:color rgb="FF235A35"/>
      </x:font>
      <x:fill>
        <x:patternFill>
          <x:bgColor rgb="FFE4F2E8"/>
        </x:patternFill>
      </x:fill>
    </x:dxf>
    <x:dxf>
      <x:font>
        <x:color rgb="FF7A4E00"/>
      </x:font>
      <x:fill>
        <x:patternFill>
          <x:bgColor rgb="FFFFF1CF"/>
        </x:patternFill>
      </x:fill>
    </x:dxf>
    <x:dxf>
      <x:font>
        <x:color rgb="FF8A2D29"/>
      </x:font>
      <x:fill>
        <x:patternFill>
          <x:bgColor rgb="FFF7DEDC"/>
        </x:patternFill>
      </x:fill>
    </x:dxf>
    <x:dxf>
      <x:font>
        <x:b/>
        <x:color rgb="FF8A2D29"/>
      </x:font>
      <x:fill>
        <x:patternFill>
          <x:bgColor rgb="FFF7DEDC"/>
        </x:patternFill>
      </x:fill>
    </x:dxf>
    <x:dxf>
      <x:font>
        <x:b/>
        <x:color rgb="FF7A4E00"/>
      </x:font>
      <x:fill>
        <x:patternFill>
          <x:bgColor rgb="FFFFF1CF"/>
        </x:patternFill>
      </x:fill>
    </x:dxf>
    <x:dxf>
      <x:font>
        <x:b/>
        <x:color rgb="FF235A35"/>
      </x:font>
      <x:fill>
        <x:patternFill>
          <x:bgColor rgb="FFE4F2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f6f6275989c4113" /><Relationship Type="http://schemas.openxmlformats.org/officeDocument/2006/relationships/theme" Target="/xl/theme/theme1.xml" Id="R7b25ce030ac448d2" /><Relationship Type="http://schemas.openxmlformats.org/officeDocument/2006/relationships/sharedStrings" Target="/xl/sharedStrings.xml" Id="Rfae6a3caf20f4be9" /><Relationship Type="http://schemas.openxmlformats.org/officeDocument/2006/relationships/worksheet" Target="/xl/worksheets/sheet1.xml" Id="R1e71bb9835c64060" /><Relationship Type="http://schemas.openxmlformats.org/officeDocument/2006/relationships/worksheet" Target="/xl/worksheets/sheet2.xml" Id="R31ad97dddcd54a77" /><Relationship Type="http://schemas.openxmlformats.org/officeDocument/2006/relationships/worksheet" Target="/xl/worksheets/sheet3.xml" Id="R9da196f60f2b489e" /><Relationship Type="http://schemas.openxmlformats.org/officeDocument/2006/relationships/worksheet" Target="/xl/worksheets/sheet4.xml" Id="R9ddd05c233384d11" /><Relationship Type="http://schemas.openxmlformats.org/officeDocument/2006/relationships/worksheet" Target="/xl/worksheets/sheet5.xml" Id="R50c838d260304b25" /><Relationship Type="http://schemas.openxmlformats.org/officeDocument/2006/relationships/worksheet" Target="/xl/worksheets/sheet6.xml" Id="Red287f233e914dc3" /><Relationship Type="http://schemas.openxmlformats.org/officeDocument/2006/relationships/worksheet" Target="/xl/worksheets/sheet7.xml" Id="R7b4d90eb83e147bc" /><Relationship Type="http://schemas.openxmlformats.org/officeDocument/2006/relationships/worksheet" Target="/xl/worksheets/sheet8.xml" Id="R484262a997624f4c" /><Relationship Type="http://schemas.openxmlformats.org/officeDocument/2006/relationships/worksheet" Target="/xl/worksheets/sheet9.xml" Id="Rd04d88f8bdba4ad1" /><Relationship Type="http://schemas.openxmlformats.org/officeDocument/2006/relationships/worksheet" Target="/xl/worksheets/sheet10.xml" Id="R4614cff910f242ac" /><Relationship Type="http://schemas.openxmlformats.org/officeDocument/2006/relationships/worksheet" Target="/xl/worksheets/sheet11.xml" Id="Rc0122ab012624606" /><Relationship Type="http://schemas.openxmlformats.org/officeDocument/2006/relationships/worksheet" Target="/xl/worksheets/sheet12.xml" Id="R4c68c146b8e2401d" /><Relationship Type="http://schemas.openxmlformats.org/officeDocument/2006/relationships/worksheet" Target="/xl/worksheets/sheet13.xml" Id="Rf19580667a9c4578" /><Relationship Type="http://schemas.openxmlformats.org/officeDocument/2006/relationships/worksheet" Target="/xl/worksheets/sheet14.xml" Id="R446561f7163b49d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3.800000190734863"/>
  <x:cols>
    <x:col min="1" max="1" width="29" customWidth="1"/>
    <x:col min="2" max="2" width="19" customWidth="1"/>
    <x:col min="3" max="3" width="22" customWidth="1"/>
    <x:col min="4" max="4" width="52" customWidth="1"/>
    <x:col min="5" max="8" width="19" customWidth="1"/>
  </x:cols>
  <x:sheetData>
    <x:row r="1" ht="34" customHeight="1">
      <x:c r="A1" s="24" t="s">
        <x:v>0</x:v>
      </x:c>
      <x:c r="B1" s="24"/>
      <x:c r="C1" s="24"/>
      <x:c r="D1" s="24"/>
      <x:c r="E1" s="24"/>
      <x:c r="F1" s="24"/>
      <x:c r="G1" s="24"/>
      <x:c r="H1" s="24"/>
    </x:row>
    <x:row r="2" ht="32.04999923706055" customHeight="1">
      <x:c r="A2" s="25" t="s">
        <x:v>1</x:v>
      </x:c>
      <x:c r="B2" s="25"/>
      <x:c r="C2" s="25"/>
      <x:c r="D2" s="25"/>
      <x:c r="E2" s="25"/>
      <x:c r="F2" s="25"/>
      <x:c r="G2" s="25"/>
      <x:c r="H2" s="25"/>
    </x:row>
    <x:row r="4" ht="24" customHeight="1">
      <x:c r="A4" s="26" t="s">
        <x:v>2</x:v>
      </x:c>
      <x:c r="B4" s="26"/>
      <x:c r="C4" s="26"/>
      <x:c r="D4" s="26"/>
      <x:c r="E4" s="26"/>
      <x:c r="F4" s="26"/>
      <x:c r="G4" s="26"/>
      <x:c r="H4" s="26"/>
    </x:row>
    <x:row r="5" ht="34" customHeight="1">
      <x:c r="A5" s="1" t="s">
        <x:v>3</x:v>
      </x:c>
      <x:c r="B5" s="2" t="s">
        <x:v>4</x:v>
      </x:c>
      <x:c r="C5" s="2" t="s">
        <x:v>5</x:v>
      </x:c>
      <x:c r="D5" s="2" t="s">
        <x:v>6</x:v>
      </x:c>
      <x:c r="E5" s="2" t="s">
        <x:v>7</x:v>
      </x:c>
      <x:c r="F5" s="2" t="s">
        <x:v>8</x:v>
      </x:c>
      <x:c r="G5" s="2" t="s">
        <x:v>9</x:v>
      </x:c>
      <x:c r="H5" s="3" t="s">
        <x:v>10</x:v>
      </x:c>
    </x:row>
    <x:row r="6" ht="34" customHeight="1">
      <x:c r="A6" s="14" t="s">
        <x:v>11</x:v>
      </x:c>
      <x:c r="B6" s="14" t="s">
        <x:v>12</x:v>
      </x:c>
      <x:c r="C6" s="14">
        <x:v>23</x:v>
      </x:c>
      <x:c r="D6" s="14">
        <x:v>13</x:v>
      </x:c>
      <x:c r="E6" s="14">
        <x:v>0</x:v>
      </x:c>
      <x:c r="F6" s="14" t="s">
        <x:v>13</x:v>
      </x:c>
      <x:c r="G6" s="14" t="s">
        <x:v>14</x:v>
      </x:c>
      <x:c r="H6" s="14" t="s">
        <x:v>11</x:v>
      </x:c>
    </x:row>
    <x:row r="8" ht="24" customHeight="1">
      <x:c r="A8" s="26" t="s">
        <x:v>15</x:v>
      </x:c>
      <x:c r="B8" s="26"/>
      <x:c r="C8" s="26"/>
      <x:c r="D8" s="26"/>
      <x:c r="E8" s="26"/>
      <x:c r="F8" s="26"/>
      <x:c r="G8" s="26"/>
      <x:c r="H8" s="26"/>
    </x:row>
    <x:row r="9" ht="34" customHeight="1">
      <x:c r="A9" s="1" t="s">
        <x:v>16</x:v>
      </x:c>
      <x:c r="B9" s="2" t="s">
        <x:v>17</x:v>
      </x:c>
      <x:c r="C9" s="2" t="s">
        <x:v>18</x:v>
      </x:c>
      <x:c r="D9" s="3" t="s">
        <x:v>19</x:v>
      </x:c>
    </x:row>
    <x:row r="10">
      <x:c r="A10" s="4" t="s">
        <x:v>20</x:v>
      </x:c>
      <x:c r="B10" s="7" t="n">
        <x:f>AVERAGE('Artifact Forensics'!K5:K28)</x:f>
        <x:v>0.81225</x:v>
      </x:c>
      <x:c r="C10" s="4" t="s">
        <x:v>21</x:v>
      </x:c>
      <x:c r="D10" s="4" t="s">
        <x:v>22</x:v>
      </x:c>
    </x:row>
    <x:row r="11">
      <x:c r="A11" s="5" t="s">
        <x:v>23</x:v>
      </x:c>
      <x:c r="B11" s="8" t="n">
        <x:f>COUNTIF('Artifact Forensics'!F5:F27,"Yes")/23</x:f>
        <x:v>0.8260869565217391</x:v>
      </x:c>
      <x:c r="C11" s="5" t="s">
        <x:v>24</x:v>
      </x:c>
      <x:c r="D11" s="5" t="s">
        <x:v>25</x:v>
      </x:c>
    </x:row>
    <x:row r="12">
      <x:c r="A12" s="5" t="s">
        <x:v>26</x:v>
      </x:c>
      <x:c r="B12" s="8" t="n">
        <x:f>0/13</x:f>
        <x:v>0</x:v>
      </x:c>
      <x:c r="C12" s="5" t="s">
        <x:v>27</x:v>
      </x:c>
      <x:c r="D12" s="33" t="s">
        <x:v>28</x:v>
      </x:c>
    </x:row>
    <x:row r="13">
      <x:c r="A13" s="5" t="s">
        <x:v>29</x:v>
      </x:c>
      <x:c r="B13" s="5">
        <x:v>0</x:v>
      </x:c>
      <x:c r="C13" s="5" t="s">
        <x:v>30</x:v>
      </x:c>
      <x:c r="D13" s="5" t="s">
        <x:v>31</x:v>
      </x:c>
    </x:row>
    <x:row r="14">
      <x:c r="A14" s="5" t="s">
        <x:v>32</x:v>
      </x:c>
      <x:c r="B14" s="5">
        <x:v>0</x:v>
      </x:c>
      <x:c r="C14" s="5" t="s">
        <x:v>33</x:v>
      </x:c>
      <x:c r="D14" s="5" t="s">
        <x:v>34</x:v>
      </x:c>
    </x:row>
    <x:row r="15">
      <x:c r="A15" s="6" t="s">
        <x:v>35</x:v>
      </x:c>
      <x:c r="B15" s="6">
        <x:v>15.95</x:v>
      </x:c>
      <x:c r="C15" s="6" t="s">
        <x:v>36</x:v>
      </x:c>
      <x:c r="D15" s="6" t="s">
        <x:v>37</x:v>
      </x:c>
    </x:row>
    <x:row r="17" ht="24" customHeight="1">
      <x:c r="A17" s="26" t="s">
        <x:v>38</x:v>
      </x:c>
      <x:c r="B17" s="26"/>
      <x:c r="C17" s="26"/>
      <x:c r="D17" s="26"/>
      <x:c r="E17" s="26"/>
      <x:c r="F17" s="26"/>
      <x:c r="G17" s="26"/>
      <x:c r="H17" s="26"/>
    </x:row>
    <x:row r="18" ht="28" customHeight="1">
      <x:c r="A18" s="27" t="s">
        <x:v>39</x:v>
      </x:c>
      <x:c r="B18" s="27"/>
      <x:c r="C18" s="27"/>
      <x:c r="D18" s="27"/>
      <x:c r="E18" s="27"/>
      <x:c r="F18" s="27"/>
      <x:c r="G18" s="27"/>
      <x:c r="H18" s="27"/>
    </x:row>
    <x:row r="19" ht="28" customHeight="1">
      <x:c r="A19" s="28" t="s">
        <x:v>40</x:v>
      </x:c>
      <x:c r="B19" s="28"/>
      <x:c r="C19" s="28"/>
      <x:c r="D19" s="28"/>
      <x:c r="E19" s="28"/>
      <x:c r="F19" s="28"/>
      <x:c r="G19" s="28"/>
      <x:c r="H19" s="28"/>
    </x:row>
    <x:row r="20" ht="28" customHeight="1">
      <x:c r="A20" s="28" t="s">
        <x:v>41</x:v>
      </x:c>
      <x:c r="B20" s="28"/>
      <x:c r="C20" s="28"/>
      <x:c r="D20" s="28"/>
      <x:c r="E20" s="28"/>
      <x:c r="F20" s="28"/>
      <x:c r="G20" s="28"/>
      <x:c r="H20" s="28"/>
    </x:row>
    <x:row r="21" ht="28" customHeight="1">
      <x:c r="A21" s="29" t="s">
        <x:v>42</x:v>
      </x:c>
      <x:c r="B21" s="29"/>
      <x:c r="C21" s="29"/>
      <x:c r="D21" s="29"/>
      <x:c r="E21" s="29"/>
      <x:c r="F21" s="29"/>
      <x:c r="G21" s="29"/>
      <x:c r="H21" s="29"/>
    </x:row>
    <x:row r="23" ht="24" customHeight="1">
      <x:c r="A23" s="26" t="s">
        <x:v>43</x:v>
      </x:c>
      <x:c r="B23" s="26"/>
      <x:c r="C23" s="26"/>
      <x:c r="D23" s="26"/>
      <x:c r="E23" s="26"/>
      <x:c r="F23" s="26"/>
      <x:c r="G23" s="26"/>
      <x:c r="H23" s="26"/>
    </x:row>
    <x:row r="24" ht="30" customHeight="1">
      <x:c r="A24" s="30" t="s">
        <x:v>44</x:v>
      </x:c>
      <x:c r="B24" s="30"/>
      <x:c r="C24" s="30"/>
      <x:c r="D24" s="30"/>
      <x:c r="E24" s="30"/>
      <x:c r="F24" s="30"/>
      <x:c r="G24" s="30"/>
      <x:c r="H24" s="30"/>
    </x:row>
    <x:row r="25" ht="30" customHeight="1">
      <x:c r="A25" s="31" t="s">
        <x:v>45</x:v>
      </x:c>
      <x:c r="B25" s="31"/>
      <x:c r="C25" s="31"/>
      <x:c r="D25" s="31"/>
      <x:c r="E25" s="31"/>
      <x:c r="F25" s="31"/>
      <x:c r="G25" s="31"/>
      <x:c r="H25" s="31"/>
    </x:row>
    <x:row r="26" ht="30" customHeight="1">
      <x:c r="A26" s="31" t="s">
        <x:v>46</x:v>
      </x:c>
      <x:c r="B26" s="31"/>
      <x:c r="C26" s="31"/>
      <x:c r="D26" s="31"/>
      <x:c r="E26" s="31"/>
      <x:c r="F26" s="31"/>
      <x:c r="G26" s="31"/>
      <x:c r="H26" s="31"/>
    </x:row>
    <x:row r="27" ht="30" customHeight="1">
      <x:c r="A27" s="32" t="s">
        <x:v>47</x:v>
      </x:c>
      <x:c r="B27" s="32"/>
      <x:c r="C27" s="32"/>
      <x:c r="D27" s="32"/>
      <x:c r="E27" s="32"/>
      <x:c r="F27" s="32"/>
      <x:c r="G27" s="32"/>
      <x:c r="H27" s="32"/>
    </x:row>
  </x:sheetData>
  <x:mergeCells>
    <x:mergeCell ref="A24:H24"/>
    <x:mergeCell ref="A25:H25"/>
    <x:mergeCell ref="A26:H26"/>
    <x:mergeCell ref="A27:H27"/>
    <x:mergeCell ref="A18:H18"/>
    <x:mergeCell ref="A19:H19"/>
    <x:mergeCell ref="A20:H20"/>
    <x:mergeCell ref="A21:H21"/>
    <x:mergeCell ref="A23:H23"/>
    <x:mergeCell ref="A1:H1"/>
    <x:mergeCell ref="A2:H2"/>
    <x:mergeCell ref="A4:H4"/>
    <x:mergeCell ref="A8:H8"/>
    <x:mergeCell ref="A17:H17"/>
  </x:mergeCells>
  <x:conditionalFormatting sqref="A6:H6">
    <x:cfRule type="containsText" dxfId="23" priority="1" operator="containsText" text="PASS"/>
    <x:cfRule type="containsText" dxfId="22" priority="2" operator="containsText" text="NEEDS"/>
    <x:cfRule type="containsText" dxfId="21" priority="3" operator="containsText" text="UNPROVEN"/>
  </x:conditionalFormatting>
  <x:conditionalFormatting sqref="B10:B12">
    <x:cfRule type="cellIs" dxfId="20" priority="5" operator="lessThan">
      <x:formula>0.7</x:formula>
    </x:cfRule>
    <x:cfRule type="cellIs" dxfId="19" priority="6" operator="between">
      <x:formula>0.7</x:formula>
      <x:formula>0.8499</x:formula>
    </x:cfRule>
    <x:cfRule type="cellIs" dxfId="18" priority="7" operator="greaterThanOrEqual">
      <x:formula>0.85</x:formula>
    </x:cfRule>
  </x:conditionalFormatting>
  <x:pageMargins left="0.7" right="0.7" top="0.75" bottom="0.75" header="0.3" footer="0.3"/>
</x:worksheet>
</file>

<file path=xl/worksheets/sheet2.xml><?xml version="1.0" encoding="utf-8"?>
<x:worksheet xmlns:x="http://schemas.openxmlformats.org/spreadsheetml/2006/main">
  <x:sheetFormatPr defaultRowHeight="13.800000190734863"/>
  <x:sheetData>
    <x:row r="1" ht="15">
      <x:c r="A1" s="34" t="s">
        <x:v>48</x:v>
      </x:c>
    </x:row>
    <x:row r="2" ht="15.300000190734863">
      <x:c r="A2" s="35" t="s">
        <x:v>49</x:v>
      </x:c>
    </x:row>
    <x:row r="3">
      <x:c r="A3" s="36"/>
    </x:row>
    <x:row r="4" ht="15.300000190734863">
      <x:c r="A4" s="37" t="s">
        <x:v>50</x:v>
      </x:c>
    </x:row>
    <x:row r="5" ht="15.300000190734863">
      <x:c r="A5" s="37" t="s">
        <x:v>51</x:v>
      </x:c>
    </x:row>
    <x:row r="6" ht="15.300000190734863">
      <x:c r="A6" s="37" t="s">
        <x:v>52</x:v>
      </x:c>
    </x:row>
    <x:row r="7" ht="15.300000190734863">
      <x:c r="A7" s="37" t="s">
        <x:v>53</x:v>
      </x:c>
    </x:row>
    <x:row r="8" ht="15.300000190734863">
      <x:c r="A8" s="37" t="s">
        <x:v>54</x:v>
      </x:c>
    </x:row>
    <x:row r="9" ht="15.300000190734863">
      <x:c r="A9" s="37" t="s">
        <x:v>55</x:v>
      </x:c>
    </x:row>
    <x:row r="10" ht="15.300000190734863">
      <x:c r="A10" s="35" t="s">
        <x:v>56</x:v>
      </x:c>
    </x:row>
    <x:row r="11" ht="15.300000190734863">
      <x:c r="A11" s="35" t="s">
        <x:v>57</x:v>
      </x:c>
    </x:row>
    <x:row r="12">
      <x:c r="A12" s="36"/>
    </x:row>
    <x:row r="13" ht="15.300000190734863">
      <x:c r="A13" s="38" t="s">
        <x:v>58</x:v>
      </x:c>
    </x:row>
    <x:row r="14" ht="15.300000190734863">
      <x:c r="A14" s="38" t="s">
        <x:v>59</x:v>
      </x:c>
    </x:row>
    <x:row r="15" ht="15.300000190734863">
      <x:c r="A15" s="38" t="s">
        <x:v>60</x:v>
      </x:c>
    </x:row>
    <x:row r="16" ht="15.300000190734863">
      <x:c r="A16" s="38" t="s">
        <x:v>61</x:v>
      </x:c>
    </x:row>
    <x:row r="17" ht="15.300000190734863">
      <x:c r="A17" s="38" t="s">
        <x:v>62</x:v>
      </x:c>
    </x:row>
    <x:row r="18" ht="15.300000190734863">
      <x:c r="A18" s="38" t="s">
        <x:v>63</x:v>
      </x:c>
    </x:row>
    <x:row r="19" ht="15.300000190734863">
      <x:c r="A19" s="35" t="s">
        <x:v>64</x:v>
      </x:c>
    </x:row>
    <x:row r="20">
      <x:c r="A20" s="36"/>
    </x:row>
    <x:row r="21" ht="17.100000381469727">
      <x:c r="A21" s="37" t="s">
        <x:v>65</x:v>
      </x:c>
    </x:row>
    <x:row r="22" ht="15.300000190734863">
      <x:c r="A22" s="37" t="s">
        <x:v>66</x:v>
      </x:c>
    </x:row>
    <x:row r="23" ht="15.300000190734863">
      <x:c r="A23" s="35" t="s">
        <x:v>67</x:v>
      </x:c>
    </x:row>
    <x:row r="24" ht="15.300000190734863">
      <x:c r="A24" s="35" t="s">
        <x:v>68</x:v>
      </x:c>
    </x:row>
    <x:row r="25" ht="15.300000190734863">
      <x:c r="A25" s="35" t="s">
        <x:v>69</x:v>
      </x:c>
    </x:row>
    <x:row r="26">
      <x:c r="A26" s="36"/>
    </x:row>
    <x:row r="27" ht="15">
      <x:c r="A27" s="37" t="s">
        <x:v>70</x:v>
      </x:c>
    </x:row>
    <x:row r="28" ht="15.300000190734863">
      <x:c r="A28" s="38" t="s">
        <x:v>71</x:v>
      </x:c>
    </x:row>
    <x:row r="29">
      <x:c r="A29" s="36"/>
    </x:row>
    <x:row r="30" ht="15">
      <x:c r="A30" s="37" t="s">
        <x:v>72</x:v>
      </x:c>
    </x:row>
    <x:row r="31" ht="15.300000190734863">
      <x:c r="A31" s="38" t="s">
        <x:v>73</x:v>
      </x:c>
    </x:row>
    <x:row r="32">
      <x:c r="A32" s="36"/>
    </x:row>
    <x:row r="33" ht="15">
      <x:c r="A33" s="37" t="s">
        <x:v>74</x:v>
      </x:c>
    </x:row>
    <x:row r="34" ht="15.300000190734863">
      <x:c r="A34" s="38" t="s">
        <x:v>75</x:v>
      </x:c>
    </x:row>
    <x:row r="35">
      <x:c r="A35" s="36"/>
    </x:row>
    <x:row r="36" ht="15">
      <x:c r="A36" s="37" t="s">
        <x:v>76</x:v>
      </x:c>
    </x:row>
    <x:row r="37" ht="15.300000190734863">
      <x:c r="A37" s="38" t="s">
        <x:v>77</x:v>
      </x:c>
    </x:row>
    <x:row r="38">
      <x:c r="A38" s="36"/>
    </x:row>
    <x:row r="39" ht="15">
      <x:c r="A39" s="37" t="s">
        <x:v>78</x:v>
      </x:c>
    </x:row>
    <x:row r="40" ht="15.300000190734863">
      <x:c r="A40" s="38" t="s">
        <x:v>79</x:v>
      </x:c>
    </x:row>
    <x:row r="41">
      <x:c r="A41" s="36"/>
    </x:row>
    <x:row r="42" ht="15">
      <x:c r="A42" s="37" t="s">
        <x:v>80</x:v>
      </x:c>
    </x:row>
    <x:row r="43" ht="15.300000190734863">
      <x:c r="A43" s="38" t="s">
        <x:v>81</x:v>
      </x:c>
    </x:row>
    <x:row r="44">
      <x:c r="A44" s="36"/>
    </x:row>
    <x:row r="45" ht="15">
      <x:c r="A45" s="37" t="s">
        <x:v>82</x:v>
      </x:c>
    </x:row>
    <x:row r="46" ht="15.300000190734863">
      <x:c r="A46" s="38" t="s">
        <x:v>83</x:v>
      </x:c>
    </x:row>
    <x:row r="47">
      <x:c r="A47" s="36"/>
    </x:row>
    <x:row r="48" ht="15">
      <x:c r="A48" s="37" t="s">
        <x:v>84</x:v>
      </x:c>
    </x:row>
    <x:row r="49" ht="15.300000190734863">
      <x:c r="A49" s="38" t="s">
        <x:v>85</x:v>
      </x:c>
    </x:row>
    <x:row r="50">
      <x:c r="A50" s="36"/>
    </x:row>
    <x:row r="51" ht="15">
      <x:c r="A51" s="37" t="s">
        <x:v>86</x:v>
      </x:c>
    </x:row>
    <x:row r="52" ht="15.300000190734863">
      <x:c r="A52" s="38" t="s">
        <x:v>87</x:v>
      </x:c>
    </x:row>
    <x:row r="53">
      <x:c r="A53" s="36"/>
    </x:row>
    <x:row r="54" ht="15">
      <x:c r="A54" s="37" t="s">
        <x:v>88</x:v>
      </x:c>
    </x:row>
    <x:row r="55" ht="15.300000190734863">
      <x:c r="A55" s="38" t="s">
        <x:v>89</x:v>
      </x:c>
    </x:row>
    <x:row r="57" ht="16.799999237060547">
      <x:c r="A57" s="39" t="s">
        <x:v>90</x:v>
      </x:c>
    </x:row>
    <x:row r="58" ht="15.300000190734863">
      <x:c r="A58" s="35" t="s">
        <x:v>91</x:v>
      </x:c>
    </x:row>
    <x:row r="59">
      <x:c r="A59" s="36"/>
    </x:row>
    <x:row r="60" ht="15.300000190734863">
      <x:c r="A60" s="38" t="s">
        <x:v>92</x:v>
      </x:c>
    </x:row>
    <x:row r="61" ht="15.300000190734863">
      <x:c r="A61" s="38" t="s">
        <x:v>93</x:v>
      </x:c>
    </x:row>
    <x:row r="62" ht="16.799999237060547">
      <x:c r="A62" s="39" t="s">
        <x:v>94</x:v>
      </x:c>
    </x:row>
    <x:row r="63" ht="15.300000190734863">
      <x:c r="A63" s="35" t="s">
        <x:v>95</x:v>
      </x:c>
    </x:row>
    <x:row r="64">
      <x:c r="A64" s="36"/>
    </x:row>
    <x:row r="65" ht="15.300000190734863">
      <x:c r="A65" s="37" t="s">
        <x:v>96</x:v>
      </x:c>
    </x:row>
    <x:row r="66" ht="15.300000190734863">
      <x:c r="A66" s="37" t="s">
        <x:v>97</x:v>
      </x:c>
    </x:row>
    <x:row r="67" ht="15.300000190734863">
      <x:c r="A67" s="37" t="s">
        <x:v>98</x:v>
      </x:c>
    </x:row>
    <x:row r="68" ht="15.300000190734863">
      <x:c r="A68" s="35" t="s">
        <x:v>99</x:v>
      </x:c>
    </x:row>
    <x:row r="69" ht="15.300000190734863">
      <x:c r="A69" s="35" t="s">
        <x:v>100</x:v>
      </x:c>
    </x:row>
    <x:row r="70" ht="15.300000190734863">
      <x:c r="A70" s="35" t="s">
        <x:v>101</x:v>
      </x:c>
    </x:row>
    <x:row r="71" ht="30">
      <x:c r="A71" s="40" t="s">
        <x:v>102</x:v>
      </x:c>
      <x:c r="B71" s="40" t="s">
        <x:v>103</x:v>
      </x:c>
      <x:c r="C71" s="40" t="s">
        <x:v>104</x:v>
      </x:c>
    </x:row>
    <x:row r="72" ht="396">
      <x:c r="A72" s="42">
        <x:v>1</x:v>
      </x:c>
      <x:c r="B72" s="42" t="s">
        <x:v>105</x:v>
      </x:c>
      <x:c r="C72" s="43" t="s">
        <x:v>106</x:v>
      </x:c>
    </x:row>
    <x:row r="73" ht="351.8999938964844">
      <x:c r="A73" s="42">
        <x:v>2</x:v>
      </x:c>
      <x:c r="B73" s="42" t="s">
        <x:v>107</x:v>
      </x:c>
      <x:c r="C73" s="43" t="s">
        <x:v>108</x:v>
      </x:c>
    </x:row>
    <x:row r="74" ht="244.8000030517578">
      <x:c r="A74" s="42">
        <x:v>3</x:v>
      </x:c>
      <x:c r="B74" s="42" t="s">
        <x:v>109</x:v>
      </x:c>
      <x:c r="C74" s="43" t="s">
        <x:v>110</x:v>
      </x:c>
    </x:row>
    <x:row r="75" ht="306">
      <x:c r="A75" s="42">
        <x:v>4</x:v>
      </x:c>
      <x:c r="B75" s="42" t="s">
        <x:v>111</x:v>
      </x:c>
      <x:c r="C75" s="43" t="s">
        <x:v>112</x:v>
      </x:c>
    </x:row>
    <x:row r="76" ht="214.1999969482422">
      <x:c r="A76" s="42">
        <x:v>5</x:v>
      </x:c>
      <x:c r="B76" s="42" t="s">
        <x:v>113</x:v>
      </x:c>
      <x:c r="C76" s="43" t="s">
        <x:v>114</x:v>
      </x:c>
    </x:row>
    <x:row r="77" ht="260.1000061035156">
      <x:c r="A77" s="42">
        <x:v>6</x:v>
      </x:c>
      <x:c r="B77" s="42" t="s">
        <x:v>115</x:v>
      </x:c>
      <x:c r="C77" s="43" t="s">
        <x:v>116</x:v>
      </x:c>
    </x:row>
    <x:row r="78" ht="260.1000061035156">
      <x:c r="A78" s="42">
        <x:v>7</x:v>
      </x:c>
      <x:c r="B78" s="42" t="s">
        <x:v>117</x:v>
      </x:c>
      <x:c r="C78" s="43" t="s">
        <x:v>118</x:v>
      </x:c>
    </x:row>
    <x:row r="79" ht="260.1000061035156">
      <x:c r="A79" s="42">
        <x:v>8</x:v>
      </x:c>
      <x:c r="B79" s="42" t="s">
        <x:v>119</x:v>
      </x:c>
      <x:c r="C79" s="43" t="s">
        <x:v>120</x:v>
      </x:c>
    </x:row>
    <x:row r="80" ht="214.1999969482422">
      <x:c r="A80" s="42">
        <x:v>9</x:v>
      </x:c>
      <x:c r="B80" s="42" t="s">
        <x:v>121</x:v>
      </x:c>
      <x:c r="C80" s="43" t="s">
        <x:v>122</x:v>
      </x:c>
    </x:row>
    <x:row r="81" ht="244.8000030517578">
      <x:c r="A81" s="42">
        <x:v>10</x:v>
      </x:c>
      <x:c r="B81" s="42" t="s">
        <x:v>123</x:v>
      </x:c>
      <x:c r="C81" s="43" t="s">
        <x:v>124</x:v>
      </x:c>
    </x:row>
    <x:row r="82" ht="183.60000610351562">
      <x:c r="A82" s="42">
        <x:v>11</x:v>
      </x:c>
      <x:c r="B82" s="42" t="s">
        <x:v>125</x:v>
      </x:c>
      <x:c r="C82" s="43" t="s">
        <x:v>126</x:v>
      </x:c>
    </x:row>
    <x:row r="83" ht="198.89999389648438">
      <x:c r="A83" s="42">
        <x:v>12</x:v>
      </x:c>
      <x:c r="B83" s="42" t="s">
        <x:v>127</x:v>
      </x:c>
      <x:c r="C83" s="43" t="s">
        <x:v>128</x:v>
      </x:c>
    </x:row>
    <x:row r="84" ht="260.1000061035156">
      <x:c r="A84" s="42">
        <x:v>13</x:v>
      </x:c>
      <x:c r="B84" s="42" t="s">
        <x:v>129</x:v>
      </x:c>
      <x:c r="C84" s="43" t="s">
        <x:v>130</x:v>
      </x:c>
    </x:row>
    <x:row r="85" ht="153">
      <x:c r="A85" s="42">
        <x:v>14</x:v>
      </x:c>
      <x:c r="B85" s="42" t="s">
        <x:v>131</x:v>
      </x:c>
      <x:c r="C85" s="43" t="s">
        <x:v>132</x:v>
      </x:c>
    </x:row>
    <x:row r="86" ht="168.3000030517578">
      <x:c r="A86" s="42">
        <x:v>15</x:v>
      </x:c>
      <x:c r="B86" s="42" t="s">
        <x:v>133</x:v>
      </x:c>
      <x:c r="C86" s="43" t="s">
        <x:v>134</x:v>
      </x:c>
    </x:row>
    <x:row r="87" ht="153">
      <x:c r="A87" s="42">
        <x:v>16</x:v>
      </x:c>
      <x:c r="B87" s="42" t="s">
        <x:v>135</x:v>
      </x:c>
      <x:c r="C87" s="43" t="s">
        <x:v>136</x:v>
      </x:c>
    </x:row>
    <x:row r="88" ht="275.3999938964844">
      <x:c r="A88" s="42">
        <x:v>17</x:v>
      </x:c>
      <x:c r="B88" s="42" t="s">
        <x:v>137</x:v>
      </x:c>
      <x:c r="C88" s="43" t="s">
        <x:v>138</x:v>
      </x:c>
    </x:row>
    <x:row r="89" ht="153">
      <x:c r="A89" s="42">
        <x:v>18</x:v>
      </x:c>
      <x:c r="B89" s="42" t="s">
        <x:v>139</x:v>
      </x:c>
      <x:c r="C89" s="43" t="s">
        <x:v>140</x:v>
      </x:c>
    </x:row>
    <x:row r="90" ht="275.3999938964844">
      <x:c r="A90" s="42">
        <x:v>19</x:v>
      </x:c>
      <x:c r="B90" s="42" t="s">
        <x:v>141</x:v>
      </x:c>
      <x:c r="C90" s="43" t="s">
        <x:v>142</x:v>
      </x:c>
    </x:row>
    <x:row r="91" ht="229.5">
      <x:c r="A91" s="42">
        <x:v>20</x:v>
      </x:c>
      <x:c r="B91" s="42" t="s">
        <x:v>143</x:v>
      </x:c>
      <x:c r="C91" s="43" t="s">
        <x:v>144</x:v>
      </x:c>
    </x:row>
    <x:row r="92" ht="22.799999237060547">
      <x:c r="A92" s="44" t="s">
        <x:v>145</x:v>
      </x:c>
    </x:row>
    <x:row r="93" ht="15.300000190734863">
      <x:c r="A93" s="35" t="s">
        <x:v>146</x:v>
      </x:c>
    </x:row>
    <x:row r="94" ht="16.799999237060547">
      <x:c r="A94" s="39" t="s">
        <x:v>147</x:v>
      </x:c>
    </x:row>
    <x:row r="95">
      <x:c r="A95" s="36"/>
    </x:row>
    <x:row r="96" ht="15.300000190734863">
      <x:c r="A96" s="38" t="s">
        <x:v>148</x:v>
      </x:c>
    </x:row>
    <x:row r="97" ht="15.300000190734863">
      <x:c r="A97" s="38" t="s">
        <x:v>149</x:v>
      </x:c>
    </x:row>
    <x:row r="98" ht="15.300000190734863">
      <x:c r="A98" s="38" t="s">
        <x:v>150</x:v>
      </x:c>
    </x:row>
    <x:row r="99" ht="15.300000190734863">
      <x:c r="A99" s="38" t="s">
        <x:v>151</x:v>
      </x:c>
    </x:row>
    <x:row r="100" ht="15.300000190734863">
      <x:c r="A100" s="38" t="s">
        <x:v>152</x:v>
      </x:c>
    </x:row>
    <x:row r="101" ht="16.799999237060547">
      <x:c r="A101" s="39" t="s">
        <x:v>153</x:v>
      </x:c>
    </x:row>
    <x:row r="102">
      <x:c r="A102" s="36"/>
    </x:row>
    <x:row r="103" ht="15.300000190734863">
      <x:c r="A103" s="38" t="s">
        <x:v>154</x:v>
      </x:c>
    </x:row>
    <x:row r="104" ht="15.300000190734863">
      <x:c r="A104" s="38" t="s">
        <x:v>155</x:v>
      </x:c>
    </x:row>
    <x:row r="105" ht="15.300000190734863">
      <x:c r="A105" s="38" t="s">
        <x:v>156</x:v>
      </x:c>
    </x:row>
    <x:row r="106" ht="15.300000190734863">
      <x:c r="A106" s="38" t="s">
        <x:v>157</x:v>
      </x:c>
    </x:row>
    <x:row r="107" ht="16.799999237060547">
      <x:c r="A107" s="39" t="s">
        <x:v>158</x:v>
      </x:c>
    </x:row>
    <x:row r="108">
      <x:c r="A108" s="36"/>
    </x:row>
    <x:row r="109" ht="15.300000190734863">
      <x:c r="A109" s="38" t="s">
        <x:v>159</x:v>
      </x:c>
    </x:row>
    <x:row r="110" ht="15.300000190734863">
      <x:c r="A110" s="38" t="s">
        <x:v>160</x:v>
      </x:c>
    </x:row>
    <x:row r="111" ht="15.300000190734863">
      <x:c r="A111" s="38" t="s">
        <x:v>161</x:v>
      </x:c>
    </x:row>
    <x:row r="112" ht="15.300000190734863">
      <x:c r="A112" s="38" t="s">
        <x:v>162</x:v>
      </x:c>
    </x:row>
    <x:row r="113" ht="15.300000190734863">
      <x:c r="A113" s="38" t="s">
        <x:v>163</x:v>
      </x:c>
    </x:row>
    <x:row r="114" ht="16.799999237060547">
      <x:c r="A114" s="39" t="s">
        <x:v>164</x:v>
      </x:c>
    </x:row>
    <x:row r="115">
      <x:c r="A115" s="36"/>
    </x:row>
    <x:row r="116" ht="15.300000190734863">
      <x:c r="A116" s="38" t="s">
        <x:v>165</x:v>
      </x:c>
    </x:row>
    <x:row r="117" ht="15.300000190734863">
      <x:c r="A117" s="38" t="s">
        <x:v>166</x:v>
      </x:c>
    </x:row>
    <x:row r="118" ht="15.300000190734863">
      <x:c r="A118" s="38" t="s">
        <x:v>167</x:v>
      </x:c>
    </x:row>
    <x:row r="119" ht="15.300000190734863">
      <x:c r="A119" s="38" t="s">
        <x:v>168</x:v>
      </x:c>
    </x:row>
    <x:row r="120" ht="15.300000190734863">
      <x:c r="A120" s="38" t="s">
        <x:v>169</x:v>
      </x:c>
    </x:row>
    <x:row r="121" ht="15.300000190734863">
      <x:c r="A121" s="38" t="s">
        <x:v>170</x:v>
      </x:c>
    </x:row>
    <x:row r="124" ht="16.799999237060547">
      <x:c r="A124" s="39" t="s">
        <x:v>171</x:v>
      </x:c>
    </x:row>
    <x:row r="125" ht="15">
      <x:c r="A125" s="34" t="s">
        <x:v>172</x:v>
      </x:c>
    </x:row>
    <x:row r="126" ht="15.300000190734863">
      <x:c r="A126" s="35" t="s">
        <x:v>173</x:v>
      </x:c>
    </x:row>
    <x:row r="127" ht="15.300000190734863">
      <x:c r="A127" s="35" t="s">
        <x:v>174</x:v>
      </x:c>
    </x:row>
    <x:row r="128">
      <x:c r="A128" s="45" t="s">
        <x:v>175</x:v>
      </x:c>
    </x:row>
    <x:row r="129" ht="15.300000190734863">
      <x:c r="A129" s="35"/>
    </x:row>
    <x:row r="130">
      <x:c r="A130" s="45" t="s">
        <x:v>176</x:v>
      </x:c>
    </x:row>
    <x:row r="131" ht="15.300000190734863">
      <x:c r="A131" s="35"/>
    </x:row>
  </x:sheetData>
  <x:pageMargins left="0.7" right="0.7" top="0.75" bottom="0.75" header="0.3" footer="0.3"/>
</x:worksheet>
</file>

<file path=xl/worksheets/sheet3.xml><?xml version="1.0" encoding="utf-8"?>
<x:worksheet xmlns:x="http://schemas.openxmlformats.org/spreadsheetml/2006/main">
  <x:sheetFormatPr defaultRowHeight="13.800000190734863"/>
  <x:sheetData>
    <x:row r="1" ht="14.100000381469727">
      <x:c r="A1" s="47" t="s">
        <x:v>177</x:v>
      </x:c>
    </x:row>
    <x:row r="3">
      <x:c r="A3" t="s">
        <x:v>178</x:v>
      </x:c>
    </x:row>
    <x:row r="5">
      <x:c r="A5" t="s">
        <x:v>179</x:v>
      </x:c>
    </x:row>
    <x:row r="7">
      <x:c r="A7" t="s">
        <x:v>180</x:v>
      </x:c>
    </x:row>
    <x:row r="8">
      <x:c r="A8" s="36"/>
    </x:row>
    <x:row r="9">
      <x:c r="A9" s="36" t="s">
        <x:v>181</x:v>
      </x:c>
    </x:row>
    <x:row r="10">
      <x:c r="A10" s="36" t="s">
        <x:v>182</x:v>
      </x:c>
    </x:row>
    <x:row r="11">
      <x:c r="A11" s="36" t="s">
        <x:v>183</x:v>
      </x:c>
    </x:row>
    <x:row r="13" ht="14.100000381469727">
      <x:c r="A13" s="47" t="s">
        <x:v>184</x:v>
      </x:c>
    </x:row>
    <x:row r="15">
      <x:c r="A15" t="s">
        <x:v>185</x:v>
      </x:c>
    </x:row>
    <x:row r="17" ht="14.100000381469727">
      <x:c r="A17" s="47" t="s">
        <x:v>186</x:v>
      </x:c>
    </x:row>
    <x:row r="18">
      <x:c r="A18" s="36"/>
    </x:row>
    <x:row r="19">
      <x:c r="A19" s="36" t="s">
        <x:v>187</x:v>
      </x:c>
    </x:row>
    <x:row r="20">
      <x:c r="A20" s="36" t="s">
        <x:v>188</x:v>
      </x:c>
    </x:row>
    <x:row r="21">
      <x:c r="A21" s="36" t="s">
        <x:v>189</x:v>
      </x:c>
    </x:row>
    <x:row r="22">
      <x:c r="A22" s="36" t="s">
        <x:v>190</x:v>
      </x:c>
    </x:row>
    <x:row r="23">
      <x:c r="A23" s="36" t="s">
        <x:v>191</x:v>
      </x:c>
    </x:row>
    <x:row r="24">
      <x:c r="A24" s="36" t="s">
        <x:v>192</x:v>
      </x:c>
    </x:row>
    <x:row r="25">
      <x:c r="A25" s="36" t="s">
        <x:v>193</x:v>
      </x:c>
    </x:row>
    <x:row r="26">
      <x:c r="A26" s="36" t="s">
        <x:v>194</x:v>
      </x:c>
    </x:row>
    <x:row r="27">
      <x:c r="A27" s="36" t="s">
        <x:v>195</x:v>
      </x:c>
    </x:row>
    <x:row r="28">
      <x:c r="A28" s="36" t="s">
        <x:v>196</x:v>
      </x:c>
    </x:row>
    <x:row r="30">
      <x:c r="A30" t="s">
        <x:v>197</x:v>
      </x:c>
    </x:row>
    <x:row r="31">
      <x:c r="A31" s="36"/>
    </x:row>
    <x:row r="32">
      <x:c r="A32" s="36" t="s">
        <x:v>198</x:v>
      </x:c>
    </x:row>
    <x:row r="33">
      <x:c r="A33" s="36" t="s">
        <x:v>199</x:v>
      </x:c>
    </x:row>
    <x:row r="34">
      <x:c r="A34" s="36" t="s">
        <x:v>200</x:v>
      </x:c>
    </x:row>
    <x:row r="36">
      <x:c r="A36" t="s">
        <x:v>201</x:v>
      </x:c>
    </x:row>
    <x:row r="38">
      <x:c r="A38" s="46">
        <x:v>0.87847222222222221</x:v>
      </x:c>
    </x:row>
  </x:sheetData>
  <x:pageMargins left="0.7" right="0.7" top="0.75" bottom="0.75" header="0.3" footer="0.3"/>
</x:worksheet>
</file>

<file path=xl/worksheets/sheet4.xml><?xml version="1.0" encoding="utf-8"?>
<x:worksheet xmlns:x="http://schemas.openxmlformats.org/spreadsheetml/2006/main">
  <x:sheetFormatPr defaultRowHeight="13.800000190734863"/>
  <x:sheetData>
    <x:row r="1" ht="14.100000381469727">
      <x:c r="A1" t="s">
        <x:v>202</x:v>
      </x:c>
    </x:row>
    <x:row r="3">
      <x:c r="A3" t="s">
        <x:v>203</x:v>
      </x:c>
    </x:row>
    <x:row r="5" ht="17.100000381469727">
      <x:c r="A5" s="48" t="s">
        <x:v>204</x:v>
      </x:c>
    </x:row>
    <x:row r="7">
      <x:c r="A7" t="s">
        <x:v>205</x:v>
      </x:c>
    </x:row>
    <x:row r="9" ht="14.100000381469727">
      <x:c r="A9" t="s">
        <x:v>206</x:v>
      </x:c>
    </x:row>
    <x:row r="11">
      <x:c r="A11" t="s">
        <x:v>207</x:v>
      </x:c>
    </x:row>
    <x:row r="12">
      <x:c r="A12" s="36"/>
    </x:row>
    <x:row r="13">
      <x:c r="A13" s="36" t="s">
        <x:v>208</x:v>
      </x:c>
    </x:row>
    <x:row r="14">
      <x:c r="A14" s="36" t="s">
        <x:v>209</x:v>
      </x:c>
    </x:row>
    <x:row r="15">
      <x:c r="A15" s="36" t="s">
        <x:v>210</x:v>
      </x:c>
    </x:row>
    <x:row r="16">
      <x:c r="A16" s="36" t="s">
        <x:v>211</x:v>
      </x:c>
    </x:row>
    <x:row r="18" ht="14.100000381469727">
      <x:c r="A18" t="s">
        <x:v>212</x:v>
      </x:c>
    </x:row>
    <x:row r="20">
      <x:c r="A20" t="s">
        <x:v>213</x:v>
      </x:c>
    </x:row>
    <x:row r="21">
      <x:c r="A21" s="36"/>
    </x:row>
    <x:row r="22" ht="14.100000381469727">
      <x:c r="A22" s="49" t="s">
        <x:v>214</x:v>
      </x:c>
    </x:row>
    <x:row r="24">
      <x:c r="A24" t="s">
        <x:v>215</x:v>
      </x:c>
    </x:row>
    <x:row r="25">
      <x:c r="A25" s="36"/>
    </x:row>
    <x:row r="26">
      <x:c r="A26" s="36" t="s">
        <x:v>216</x:v>
      </x:c>
    </x:row>
    <x:row r="27">
      <x:c r="A27" s="36" t="s">
        <x:v>217</x:v>
      </x:c>
    </x:row>
    <x:row r="28">
      <x:c r="A28" s="36" t="s">
        <x:v>218</x:v>
      </x:c>
    </x:row>
    <x:row r="29">
      <x:c r="A29" s="36" t="s">
        <x:v>219</x:v>
      </x:c>
    </x:row>
    <x:row r="30">
      <x:c r="A30" s="36" t="s">
        <x:v>220</x:v>
      </x:c>
    </x:row>
    <x:row r="32">
      <x:c r="A32" t="s">
        <x:v>221</x:v>
      </x:c>
    </x:row>
    <x:row r="34">
      <x:c r="A34" t="s">
        <x:v>222</x:v>
      </x:c>
    </x:row>
    <x:row r="35">
      <x:c r="A35" s="36"/>
    </x:row>
    <x:row r="36">
      <x:c r="A36" s="36" t="s">
        <x:v>223</x:v>
      </x:c>
    </x:row>
    <x:row r="38">
      <x:c r="A38" t="s">
        <x:v>224</x:v>
      </x:c>
    </x:row>
    <x:row r="39">
      <x:c r="A39" s="36"/>
    </x:row>
    <x:row r="40" ht="14.100000381469727">
      <x:c r="A40" s="50" t="s">
        <x:v>225</x:v>
      </x:c>
    </x:row>
    <x:row r="42">
      <x:c r="A42" t="s">
        <x:v>226</x:v>
      </x:c>
    </x:row>
    <x:row r="46" ht="17.100000381469727">
      <x:c r="A46" s="48" t="s">
        <x:v>227</x:v>
      </x:c>
    </x:row>
    <x:row r="48">
      <x:c r="A48" t="s">
        <x:v>228</x:v>
      </x:c>
    </x:row>
    <x:row r="50">
      <x:c r="A50" t="s">
        <x:v>229</x:v>
      </x:c>
    </x:row>
    <x:row r="52">
      <x:c r="A52" t="s">
        <x:v>230</x:v>
      </x:c>
    </x:row>
    <x:row r="54">
      <x:c r="A54" t="s">
        <x:v>231</x:v>
      </x:c>
    </x:row>
    <x:row r="55">
      <x:c r="A55" s="36"/>
    </x:row>
    <x:row r="56">
      <x:c r="A56" s="36" t="s">
        <x:v>232</x:v>
      </x:c>
    </x:row>
    <x:row r="57">
      <x:c r="A57" s="36" t="s">
        <x:v>233</x:v>
      </x:c>
    </x:row>
    <x:row r="58">
      <x:c r="A58" s="36" t="s">
        <x:v>234</x:v>
      </x:c>
    </x:row>
    <x:row r="60">
      <x:c r="A60" t="s">
        <x:v>235</x:v>
      </x:c>
    </x:row>
    <x:row r="62">
      <x:c r="A62" t="s">
        <x:v>236</x:v>
      </x:c>
    </x:row>
    <x:row r="63">
      <x:c r="A63" s="36"/>
    </x:row>
    <x:row r="64" ht="14.100000381469727">
      <x:c r="A64" s="50" t="s">
        <x:v>237</x:v>
      </x:c>
    </x:row>
    <x:row r="66">
      <x:c r="A66" t="s">
        <x:v>238</x:v>
      </x:c>
    </x:row>
    <x:row r="67">
      <x:c r="A67" s="36"/>
    </x:row>
    <x:row r="68">
      <x:c r="A68" s="36" t="s">
        <x:v>239</x:v>
      </x:c>
    </x:row>
    <x:row r="72" ht="17.100000381469727">
      <x:c r="A72" s="48" t="s">
        <x:v>240</x:v>
      </x:c>
    </x:row>
    <x:row r="74">
      <x:c r="A74" t="s">
        <x:v>241</x:v>
      </x:c>
    </x:row>
    <x:row r="76">
      <x:c r="A76" t="s">
        <x:v>242</x:v>
      </x:c>
    </x:row>
    <x:row r="77">
      <x:c r="A77" s="36"/>
    </x:row>
    <x:row r="78">
      <x:c r="A78" s="36" t="s">
        <x:v>243</x:v>
      </x:c>
    </x:row>
    <x:row r="79">
      <x:c r="A79" s="36" t="s">
        <x:v>244</x:v>
      </x:c>
    </x:row>
    <x:row r="80">
      <x:c r="A80" s="36" t="s">
        <x:v>245</x:v>
      </x:c>
    </x:row>
    <x:row r="82">
      <x:c r="A82" t="s">
        <x:v>246</x:v>
      </x:c>
    </x:row>
    <x:row r="84">
      <x:c r="A84" t="s">
        <x:v>247</x:v>
      </x:c>
    </x:row>
    <x:row r="88" ht="22.5">
      <x:c r="A88" s="51" t="s">
        <x:v>248</x:v>
      </x:c>
    </x:row>
    <x:row r="90" ht="17.100000381469727">
      <x:c r="A90" s="48" t="s">
        <x:v>249</x:v>
      </x:c>
    </x:row>
    <x:row r="92">
      <x:c r="A92" t="s">
        <x:v>250</x:v>
      </x:c>
    </x:row>
    <x:row r="93">
      <x:c r="A93" s="36"/>
    </x:row>
    <x:row r="94">
      <x:c r="A94" s="36" t="s">
        <x:v>251</x:v>
      </x:c>
    </x:row>
    <x:row r="95">
      <x:c r="A95" s="36" t="s">
        <x:v>252</x:v>
      </x:c>
    </x:row>
    <x:row r="96">
      <x:c r="A96" s="36" t="s">
        <x:v>253</x:v>
      </x:c>
    </x:row>
    <x:row r="97">
      <x:c r="A97" s="36" t="s">
        <x:v>254</x:v>
      </x:c>
    </x:row>
    <x:row r="98">
      <x:c r="A98" s="36" t="s">
        <x:v>255</x:v>
      </x:c>
    </x:row>
    <x:row r="99">
      <x:c r="A99" s="36" t="s">
        <x:v>256</x:v>
      </x:c>
    </x:row>
    <x:row r="100">
      <x:c r="A100" s="36" t="s">
        <x:v>257</x:v>
      </x:c>
    </x:row>
    <x:row r="101">
      <x:c r="A101" s="36" t="s">
        <x:v>258</x:v>
      </x:c>
    </x:row>
    <x:row r="102">
      <x:c r="A102" s="36" t="s">
        <x:v>259</x:v>
      </x:c>
    </x:row>
    <x:row r="103">
      <x:c r="A103" s="36" t="s">
        <x:v>260</x:v>
      </x:c>
    </x:row>
    <x:row r="107" ht="17.100000381469727">
      <x:c r="A107" s="48" t="s">
        <x:v>261</x:v>
      </x:c>
    </x:row>
    <x:row r="109">
      <x:c r="A109" t="s">
        <x:v>262</x:v>
      </x:c>
    </x:row>
    <x:row r="110">
      <x:c r="A110" s="36"/>
    </x:row>
    <x:row r="111">
      <x:c r="A111" s="36" t="s">
        <x:v>263</x:v>
      </x:c>
    </x:row>
    <x:row r="112">
      <x:c r="A112" s="36" t="s">
        <x:v>264</x:v>
      </x:c>
    </x:row>
    <x:row r="113">
      <x:c r="A113" s="36" t="s">
        <x:v>265</x:v>
      </x:c>
    </x:row>
    <x:row r="114">
      <x:c r="A114" s="36" t="s">
        <x:v>266</x:v>
      </x:c>
    </x:row>
    <x:row r="115">
      <x:c r="A115" s="36" t="s">
        <x:v>267</x:v>
      </x:c>
    </x:row>
    <x:row r="119" ht="17.100000381469727">
      <x:c r="A119" s="48" t="s">
        <x:v>268</x:v>
      </x:c>
    </x:row>
    <x:row r="121">
      <x:c r="A121" t="s">
        <x:v>269</x:v>
      </x:c>
    </x:row>
    <x:row r="122">
      <x:c r="A122" s="36"/>
    </x:row>
    <x:row r="123">
      <x:c r="A123" s="36" t="s">
        <x:v>270</x:v>
      </x:c>
    </x:row>
    <x:row r="124">
      <x:c r="A124" s="36" t="s">
        <x:v>271</x:v>
      </x:c>
    </x:row>
    <x:row r="125">
      <x:c r="A125" s="36" t="s">
        <x:v>135</x:v>
      </x:c>
    </x:row>
    <x:row r="126">
      <x:c r="A126" s="36" t="s">
        <x:v>272</x:v>
      </x:c>
    </x:row>
    <x:row r="127">
      <x:c r="A127" s="36" t="s">
        <x:v>273</x:v>
      </x:c>
    </x:row>
    <x:row r="128">
      <x:c r="A128" s="36" t="s">
        <x:v>274</x:v>
      </x:c>
    </x:row>
    <x:row r="132" ht="22.5">
      <x:c r="A132" s="51" t="s">
        <x:v>275</x:v>
      </x:c>
    </x:row>
    <x:row r="134">
      <x:c r="A134" t="s">
        <x:v>276</x:v>
      </x:c>
    </x:row>
    <x:row r="136">
      <x:c r="A136" t="s">
        <x:v>277</x:v>
      </x:c>
    </x:row>
    <x:row r="137">
      <x:c r="A137" s="36"/>
    </x:row>
    <x:row r="138">
      <x:c r="A138" s="36" t="s">
        <x:v>278</x:v>
      </x:c>
    </x:row>
    <x:row r="139">
      <x:c r="A139" s="36" t="s">
        <x:v>279</x:v>
      </x:c>
    </x:row>
    <x:row r="140">
      <x:c r="A140" s="36" t="s">
        <x:v>280</x:v>
      </x:c>
    </x:row>
    <x:row r="142">
      <x:c r="A142" t="s">
        <x:v>281</x:v>
      </x:c>
    </x:row>
    <x:row r="144" ht="14.100000381469727">
      <x:c r="A144" s="52" t="s">
        <x:v>282</x:v>
      </x:c>
      <x:c r="B144" s="52" t="s">
        <x:v>283</x:v>
      </x:c>
    </x:row>
    <x:row r="145" ht="55.20000076293945">
      <x:c r="A145" s="53" t="s">
        <x:v>284</x:v>
      </x:c>
      <x:c r="B145" s="41" t="s">
        <x:v>285</x:v>
      </x:c>
    </x:row>
    <x:row r="147">
      <x:c r="A147" t="s">
        <x:v>286</x:v>
      </x:c>
    </x:row>
    <x:row r="149" ht="14.100000381469727">
      <x:c r="A149" s="52" t="s">
        <x:v>287</x:v>
      </x:c>
      <x:c r="B149" s="52" t="s">
        <x:v>284</x:v>
      </x:c>
    </x:row>
    <x:row r="150" ht="41.400001525878906">
      <x:c r="A150" s="41" t="s">
        <x:v>288</x:v>
      </x:c>
      <x:c r="B150" s="41" t="s">
        <x:v>289</x:v>
      </x:c>
    </x:row>
    <x:row r="151" ht="55.20000076293945">
      <x:c r="A151" s="41" t="s">
        <x:v>290</x:v>
      </x:c>
      <x:c r="B151" s="41" t="s">
        <x:v>291</x:v>
      </x:c>
    </x:row>
    <x:row r="152" ht="41.400001525878906">
      <x:c r="A152" s="41" t="s">
        <x:v>292</x:v>
      </x:c>
      <x:c r="B152" s="41" t="s">
        <x:v>293</x:v>
      </x:c>
    </x:row>
    <x:row r="153" ht="41.400001525878906">
      <x:c r="A153" s="41" t="s">
        <x:v>294</x:v>
      </x:c>
      <x:c r="B153" s="41" t="s">
        <x:v>295</x:v>
      </x:c>
    </x:row>
    <x:row r="154" ht="27.600000381469727">
      <x:c r="A154" s="41" t="s">
        <x:v>296</x:v>
      </x:c>
      <x:c r="B154" s="41" t="s">
        <x:v>297</x:v>
      </x:c>
    </x:row>
    <x:row r="155" ht="27.600000381469727">
      <x:c r="A155" s="41" t="s">
        <x:v>298</x:v>
      </x:c>
      <x:c r="B155" s="41" t="s">
        <x:v>299</x:v>
      </x:c>
    </x:row>
    <x:row r="157">
      <x:c r="A157" t="s">
        <x:v>300</x:v>
      </x:c>
    </x:row>
    <x:row r="159" ht="22.5">
      <x:c r="A159" s="51" t="s">
        <x:v>301</x:v>
      </x:c>
    </x:row>
    <x:row r="161">
      <x:c r="A161" t="s">
        <x:v>302</x:v>
      </x:c>
    </x:row>
    <x:row r="162">
      <x:c r="A162" s="36"/>
    </x:row>
    <x:row r="163" ht="14.100000381469727">
      <x:c r="A163" s="50" t="s">
        <x:v>303</x:v>
      </x:c>
    </x:row>
    <x:row r="164" ht="14.100000381469727">
      <x:c r="A164" s="50" t="s">
        <x:v>304</x:v>
      </x:c>
    </x:row>
    <x:row r="165" ht="14.100000381469727">
      <x:c r="A165" s="50" t="s">
        <x:v>305</x:v>
      </x:c>
    </x:row>
    <x:row r="166" ht="14.100000381469727">
      <x:c r="A166" s="50" t="s">
        <x:v>306</x:v>
      </x:c>
    </x:row>
    <x:row r="167" ht="14.100000381469727">
      <x:c r="A167" s="50" t="s">
        <x:v>307</x:v>
      </x:c>
    </x:row>
    <x:row r="168" ht="14.100000381469727">
      <x:c r="A168" s="50" t="s">
        <x:v>308</x:v>
      </x:c>
    </x:row>
    <x:row r="169" ht="14.100000381469727">
      <x:c r="A169" s="50" t="s">
        <x:v>309</x:v>
      </x:c>
    </x:row>
    <x:row r="170" ht="14.100000381469727">
      <x:c r="A170" s="50" t="s">
        <x:v>310</x:v>
      </x:c>
    </x:row>
    <x:row r="171" ht="14.100000381469727">
      <x:c r="A171" s="50" t="s">
        <x:v>311</x:v>
      </x:c>
    </x:row>
    <x:row r="172" ht="14.100000381469727">
      <x:c r="A172" s="50" t="s">
        <x:v>312</x:v>
      </x:c>
    </x:row>
    <x:row r="174">
      <x:c r="A174" t="s">
        <x:v>313</x:v>
      </x:c>
    </x:row>
  </x:sheetData>
  <x:pageMargins left="0.7" right="0.7" top="0.75" bottom="0.75" header="0.3" footer="0.3"/>
</x:worksheet>
</file>

<file path=xl/worksheets/sheet5.xml><?xml version="1.0" encoding="utf-8"?>
<x:worksheet xmlns:x="http://schemas.openxmlformats.org/spreadsheetml/2006/main">
  <x:sheetFormatPr defaultRowHeight="13.800000190734863"/>
  <x:sheetData>
    <x:row r="1" ht="14.100000381469727">
      <x:c r="A1" s="47" t="s">
        <x:v>314</x:v>
      </x:c>
    </x:row>
    <x:row r="3">
      <x:c r="A3" t="s">
        <x:v>315</x:v>
      </x:c>
    </x:row>
    <x:row r="4">
      <x:c r="A4" s="36"/>
    </x:row>
    <x:row r="5" ht="14.100000381469727">
      <x:c r="A5" s="50" t="s">
        <x:v>316</x:v>
      </x:c>
    </x:row>
    <x:row r="6">
      <x:c r="A6" s="36" t="s">
        <x:v>317</x:v>
      </x:c>
    </x:row>
    <x:row r="7">
      <x:c r="A7" s="36"/>
    </x:row>
    <x:row r="8" ht="14.100000381469727">
      <x:c r="A8" s="50" t="s">
        <x:v>318</x:v>
      </x:c>
    </x:row>
    <x:row r="9">
      <x:c r="A9" s="36"/>
    </x:row>
    <x:row r="10">
      <x:c r="A10" s="36"/>
    </x:row>
    <x:row r="11">
      <x:c r="A11" s="54" t="s">
        <x:v>319</x:v>
      </x:c>
    </x:row>
    <x:row r="12">
      <x:c r="A12" s="54" t="s">
        <x:v>320</x:v>
      </x:c>
    </x:row>
    <x:row r="14" ht="14.100000381469727">
      <x:c r="A14" s="47" t="s">
        <x:v>321</x:v>
      </x:c>
    </x:row>
    <x:row r="15">
      <x:c r="A15" s="36"/>
    </x:row>
    <x:row r="16">
      <x:c r="A16" s="36" t="s">
        <x:v>322</x:v>
      </x:c>
    </x:row>
    <x:row r="17">
      <x:c r="A17" s="36" t="s">
        <x:v>323</x:v>
      </x:c>
    </x:row>
    <x:row r="18">
      <x:c r="A18" s="36" t="s">
        <x:v>324</x:v>
      </x:c>
    </x:row>
    <x:row r="19">
      <x:c r="A19" s="36" t="s">
        <x:v>325</x:v>
      </x:c>
    </x:row>
    <x:row r="20">
      <x:c r="A20" s="36" t="s">
        <x:v>326</x:v>
      </x:c>
    </x:row>
    <x:row r="21">
      <x:c r="A21" s="36" t="s">
        <x:v>327</x:v>
      </x:c>
    </x:row>
    <x:row r="22">
      <x:c r="A22" s="36" t="s">
        <x:v>328</x:v>
      </x:c>
    </x:row>
    <x:row r="23">
      <x:c r="A23" s="36" t="s">
        <x:v>329</x:v>
      </x:c>
    </x:row>
    <x:row r="25" ht="14.100000381469727">
      <x:c r="A25" s="47" t="s">
        <x:v>330</x:v>
      </x:c>
    </x:row>
    <x:row r="26">
      <x:c r="A26" s="36"/>
    </x:row>
    <x:row r="27">
      <x:c r="A27" s="36" t="s">
        <x:v>331</x:v>
      </x:c>
    </x:row>
    <x:row r="28">
      <x:c r="A28" s="36" t="s">
        <x:v>332</x:v>
      </x:c>
    </x:row>
    <x:row r="29">
      <x:c r="A29" s="36" t="s">
        <x:v>333</x:v>
      </x:c>
    </x:row>
    <x:row r="30">
      <x:c r="A30" s="36" t="s">
        <x:v>334</x:v>
      </x:c>
    </x:row>
    <x:row r="31">
      <x:c r="A31" s="36" t="s">
        <x:v>335</x:v>
      </x:c>
    </x:row>
    <x:row r="33" ht="14.100000381469727">
      <x:c r="A33" s="47" t="s">
        <x:v>336</x:v>
      </x:c>
    </x:row>
    <x:row r="35" ht="14.100000381469727">
      <x:c r="A35" s="47" t="s">
        <x:v>337</x:v>
      </x:c>
    </x:row>
    <x:row r="37">
      <x:c r="A37" s="46">
        <x:v>0.88055555555555554</x:v>
      </x:c>
    </x:row>
  </x:sheetData>
  <x:pageMargins left="0.7" right="0.7" top="0.75" bottom="0.75" header="0.3" footer="0.3"/>
</x:worksheet>
</file>

<file path=xl/worksheets/sheet6.xml><?xml version="1.0" encoding="utf-8"?>
<x:worksheet xmlns:x="http://schemas.openxmlformats.org/spreadsheetml/2006/main">
  <x:sheetFormatPr defaultRowHeight="13.800000190734863"/>
  <x:sheetData>
    <x:row r="1" ht="14.100000381469727">
      <x:c r="A1" s="47" t="s">
        <x:v>338</x:v>
      </x:c>
    </x:row>
    <x:row r="2">
      <x:c r="A2" t="s">
        <x:v>339</x:v>
      </x:c>
    </x:row>
    <x:row r="3">
      <x:c r="A3" s="36" t="s">
        <x:v>340</x:v>
      </x:c>
    </x:row>
    <x:row r="5">
      <x:c r="A5" t="s">
        <x:v>341</x:v>
      </x:c>
    </x:row>
    <x:row r="6">
      <x:c r="A6" s="36"/>
    </x:row>
    <x:row r="7">
      <x:c r="A7" s="36" t="s">
        <x:v>342</x:v>
      </x:c>
    </x:row>
    <x:row r="8">
      <x:c r="A8" s="36" t="s">
        <x:v>343</x:v>
      </x:c>
    </x:row>
    <x:row r="9">
      <x:c r="A9" s="36" t="s">
        <x:v>344</x:v>
      </x:c>
    </x:row>
    <x:row r="10">
      <x:c r="A10" s="36" t="s">
        <x:v>345</x:v>
      </x:c>
    </x:row>
    <x:row r="11">
      <x:c r="A11" s="36" t="s">
        <x:v>346</x:v>
      </x:c>
    </x:row>
    <x:row r="12">
      <x:c r="A12" s="36" t="s">
        <x:v>347</x:v>
      </x:c>
    </x:row>
    <x:row r="14">
      <x:c r="A14" t="s">
        <x:v>348</x:v>
      </x:c>
    </x:row>
    <x:row r="15">
      <x:c r="A15" s="36"/>
    </x:row>
    <x:row r="16">
      <x:c r="A16" s="36" t="s">
        <x:v>349</x:v>
      </x:c>
    </x:row>
    <x:row r="18">
      <x:c r="A18" t="s">
        <x:v>350</x:v>
      </x:c>
    </x:row>
    <x:row r="20">
      <x:c r="A20" s="55" t="s">
        <x:v>351</x:v>
      </x:c>
    </x:row>
    <x:row r="22">
      <x:c r="A22" t="s">
        <x:v>352</x:v>
      </x:c>
    </x:row>
    <x:row r="23">
      <x:c r="A23" s="36"/>
    </x:row>
    <x:row r="24">
      <x:c r="A24" s="36" t="s">
        <x:v>353</x:v>
      </x:c>
    </x:row>
    <x:row r="25">
      <x:c r="A25" s="36" t="s">
        <x:v>354</x:v>
      </x:c>
    </x:row>
    <x:row r="26">
      <x:c r="A26" s="36" t="s">
        <x:v>355</x:v>
      </x:c>
    </x:row>
    <x:row r="27">
      <x:c r="A27" s="36" t="s">
        <x:v>356</x:v>
      </x:c>
    </x:row>
    <x:row r="28">
      <x:c r="A28" s="36" t="s">
        <x:v>357</x:v>
      </x:c>
    </x:row>
    <x:row r="29">
      <x:c r="A29" s="36" t="s">
        <x:v>358</x:v>
      </x:c>
    </x:row>
    <x:row r="30">
      <x:c r="A30" s="36" t="s">
        <x:v>359</x:v>
      </x:c>
    </x:row>
    <x:row r="31">
      <x:c r="A31" s="36" t="s">
        <x:v>360</x:v>
      </x:c>
    </x:row>
    <x:row r="33">
      <x:c r="A33" t="s">
        <x:v>361</x:v>
      </x:c>
    </x:row>
    <x:row r="34">
      <x:c r="A34" s="36"/>
    </x:row>
    <x:row r="35">
      <x:c r="A35" s="36" t="s">
        <x:v>362</x:v>
      </x:c>
    </x:row>
    <x:row r="37">
      <x:c r="A37" t="s">
        <x:v>363</x:v>
      </x:c>
    </x:row>
    <x:row r="39">
      <x:c r="A39" s="55" t="s">
        <x:v>364</x:v>
      </x:c>
    </x:row>
    <x:row r="41">
      <x:c r="A41" t="s">
        <x:v>365</x:v>
      </x:c>
    </x:row>
    <x:row r="42">
      <x:c r="A42" s="36"/>
    </x:row>
    <x:row r="43">
      <x:c r="A43" s="36" t="s">
        <x:v>366</x:v>
      </x:c>
    </x:row>
    <x:row r="44">
      <x:c r="A44" s="36" t="s">
        <x:v>367</x:v>
      </x:c>
    </x:row>
    <x:row r="45">
      <x:c r="A45" s="36" t="s">
        <x:v>368</x:v>
      </x:c>
    </x:row>
    <x:row r="46">
      <x:c r="A46" s="36" t="s">
        <x:v>369</x:v>
      </x:c>
    </x:row>
    <x:row r="47">
      <x:c r="A47" s="36" t="s">
        <x:v>370</x:v>
      </x:c>
    </x:row>
    <x:row r="49">
      <x:c r="A49" t="s">
        <x:v>371</x:v>
      </x:c>
    </x:row>
    <x:row r="50">
      <x:c r="A50" s="36"/>
    </x:row>
    <x:row r="51">
      <x:c r="A51" s="36" t="s">
        <x:v>372</x:v>
      </x:c>
    </x:row>
    <x:row r="53">
      <x:c r="A53" t="s">
        <x:v>373</x:v>
      </x:c>
    </x:row>
    <x:row r="55">
      <x:c r="A55" s="55" t="s">
        <x:v>374</x:v>
      </x:c>
    </x:row>
    <x:row r="57">
      <x:c r="A57" t="s">
        <x:v>375</x:v>
      </x:c>
    </x:row>
    <x:row r="58">
      <x:c r="A58" s="36"/>
    </x:row>
    <x:row r="59">
      <x:c r="A59" s="36" t="s">
        <x:v>376</x:v>
      </x:c>
    </x:row>
    <x:row r="61">
      <x:c r="A61" t="s">
        <x:v>377</x:v>
      </x:c>
    </x:row>
    <x:row r="62">
      <x:c r="A62" s="36"/>
    </x:row>
    <x:row r="63">
      <x:c r="A63" s="36" t="s">
        <x:v>378</x:v>
      </x:c>
    </x:row>
    <x:row r="64">
      <x:c r="A64" s="36" t="s">
        <x:v>379</x:v>
      </x:c>
    </x:row>
    <x:row r="65">
      <x:c r="A65" s="36" t="s">
        <x:v>380</x:v>
      </x:c>
    </x:row>
    <x:row r="66">
      <x:c r="A66" s="36" t="s">
        <x:v>381</x:v>
      </x:c>
    </x:row>
    <x:row r="67">
      <x:c r="A67" s="36" t="s">
        <x:v>382</x:v>
      </x:c>
    </x:row>
    <x:row r="69">
      <x:c r="A69" t="s">
        <x:v>383</x:v>
      </x:c>
    </x:row>
    <x:row r="71" ht="14.100000381469727">
      <x:c r="A71" s="47" t="s">
        <x:v>384</x:v>
      </x:c>
    </x:row>
    <x:row r="72" ht="14.100000381469727">
      <x:c r="A72" t="s">
        <x:v>385</x:v>
      </x:c>
    </x:row>
    <x:row r="74">
      <x:c r="A74" t="s">
        <x:v>386</x:v>
      </x:c>
    </x:row>
    <x:row r="76" ht="17.100000381469727">
      <x:c r="A76" s="48" t="s">
        <x:v>387</x:v>
      </x:c>
    </x:row>
    <x:row r="78">
      <x:c r="A78" t="s">
        <x:v>388</x:v>
      </x:c>
    </x:row>
    <x:row r="79">
      <x:c r="A79" s="36"/>
    </x:row>
    <x:row r="80">
      <x:c r="A80" s="36" t="s">
        <x:v>389</x:v>
      </x:c>
    </x:row>
    <x:row r="81">
      <x:c r="A81" s="36" t="s">
        <x:v>390</x:v>
      </x:c>
    </x:row>
    <x:row r="82">
      <x:c r="A82" s="36" t="s">
        <x:v>391</x:v>
      </x:c>
    </x:row>
    <x:row r="83">
      <x:c r="A83" s="36" t="s">
        <x:v>392</x:v>
      </x:c>
    </x:row>
    <x:row r="84">
      <x:c r="A84" s="36" t="s">
        <x:v>393</x:v>
      </x:c>
    </x:row>
    <x:row r="85">
      <x:c r="A85" s="36" t="s">
        <x:v>394</x:v>
      </x:c>
    </x:row>
    <x:row r="87">
      <x:c r="A87" t="s">
        <x:v>395</x:v>
      </x:c>
    </x:row>
    <x:row r="89" ht="14.100000381469727">
      <x:c r="A89" t="s">
        <x:v>396</x:v>
      </x:c>
    </x:row>
    <x:row r="90">
      <x:c r="A90" s="36"/>
    </x:row>
    <x:row r="91">
      <x:c r="A91" s="36" t="s">
        <x:v>397</x:v>
      </x:c>
    </x:row>
    <x:row r="92">
      <x:c r="A92" s="36" t="s">
        <x:v>398</x:v>
      </x:c>
    </x:row>
    <x:row r="93">
      <x:c r="A93" s="36" t="s">
        <x:v>399</x:v>
      </x:c>
    </x:row>
    <x:row r="94">
      <x:c r="A94" s="36" t="s">
        <x:v>400</x:v>
      </x:c>
    </x:row>
    <x:row r="95">
      <x:c r="A95" s="36" t="s">
        <x:v>401</x:v>
      </x:c>
    </x:row>
    <x:row r="96">
      <x:c r="A96" s="36" t="s">
        <x:v>402</x:v>
      </x:c>
    </x:row>
    <x:row r="98">
      <x:c r="A98" t="s">
        <x:v>403</x:v>
      </x:c>
    </x:row>
    <x:row r="102" ht="17.100000381469727">
      <x:c r="A102" s="48" t="s">
        <x:v>404</x:v>
      </x:c>
    </x:row>
    <x:row r="104">
      <x:c r="A104" t="s">
        <x:v>405</x:v>
      </x:c>
    </x:row>
    <x:row r="106">
      <x:c r="A106" t="s">
        <x:v>406</x:v>
      </x:c>
    </x:row>
    <x:row r="107">
      <x:c r="A107" s="36"/>
    </x:row>
    <x:row r="108">
      <x:c r="A108" s="36" t="s">
        <x:v>407</x:v>
      </x:c>
    </x:row>
    <x:row r="109">
      <x:c r="A109" s="36" t="s">
        <x:v>408</x:v>
      </x:c>
    </x:row>
    <x:row r="110">
      <x:c r="A110" s="36" t="s">
        <x:v>409</x:v>
      </x:c>
    </x:row>
    <x:row r="111">
      <x:c r="A111" s="36" t="s">
        <x:v>410</x:v>
      </x:c>
    </x:row>
    <x:row r="112">
      <x:c r="A112" s="36" t="s">
        <x:v>411</x:v>
      </x:c>
    </x:row>
    <x:row r="113">
      <x:c r="A113" s="36" t="s">
        <x:v>412</x:v>
      </x:c>
    </x:row>
    <x:row r="114">
      <x:c r="A114" s="36" t="s">
        <x:v>413</x:v>
      </x:c>
    </x:row>
    <x:row r="116">
      <x:c r="A116" t="s">
        <x:v>414</x:v>
      </x:c>
    </x:row>
    <x:row r="118">
      <x:c r="A118" t="s">
        <x:v>415</x:v>
      </x:c>
    </x:row>
    <x:row r="119">
      <x:c r="A119" s="36"/>
    </x:row>
    <x:row r="120" ht="14.100000381469727">
      <x:c r="A120" s="50" t="s">
        <x:v>416</x:v>
      </x:c>
    </x:row>
    <x:row r="122">
      <x:c r="A122" t="s">
        <x:v>417</x:v>
      </x:c>
    </x:row>
    <x:row r="126" ht="17.100000381469727">
      <x:c r="A126" s="48" t="s">
        <x:v>418</x:v>
      </x:c>
    </x:row>
    <x:row r="128">
      <x:c r="A128" t="s">
        <x:v>419</x:v>
      </x:c>
    </x:row>
    <x:row r="130">
      <x:c r="A130" t="s">
        <x:v>420</x:v>
      </x:c>
    </x:row>
    <x:row r="131">
      <x:c r="A131" s="36"/>
    </x:row>
    <x:row r="132">
      <x:c r="A132" s="36" t="s">
        <x:v>421</x:v>
      </x:c>
    </x:row>
    <x:row r="134">
      <x:c r="A134" t="s">
        <x:v>422</x:v>
      </x:c>
    </x:row>
    <x:row r="136">
      <x:c r="A136" t="s">
        <x:v>423</x:v>
      </x:c>
    </x:row>
    <x:row r="140" ht="17.100000381469727">
      <x:c r="A140" s="48" t="s">
        <x:v>424</x:v>
      </x:c>
    </x:row>
    <x:row r="142">
      <x:c r="A142" t="s">
        <x:v>425</x:v>
      </x:c>
    </x:row>
    <x:row r="144">
      <x:c r="A144" t="s">
        <x:v>426</x:v>
      </x:c>
    </x:row>
    <x:row r="145">
      <x:c r="A145" s="36"/>
    </x:row>
    <x:row r="146">
      <x:c r="A146" s="36" t="s">
        <x:v>427</x:v>
      </x:c>
    </x:row>
    <x:row r="148">
      <x:c r="A148" t="s">
        <x:v>428</x:v>
      </x:c>
    </x:row>
    <x:row r="150">
      <x:c r="A150" t="s">
        <x:v>429</x:v>
      </x:c>
    </x:row>
    <x:row r="151">
      <x:c r="A151" s="36"/>
    </x:row>
    <x:row r="152">
      <x:c r="A152" s="36" t="s">
        <x:v>430</x:v>
      </x:c>
    </x:row>
    <x:row r="153">
      <x:c r="A153" s="36" t="s">
        <x:v>431</x:v>
      </x:c>
    </x:row>
    <x:row r="154">
      <x:c r="A154" s="36" t="s">
        <x:v>432</x:v>
      </x:c>
    </x:row>
    <x:row r="156">
      <x:c r="A156" t="s">
        <x:v>433</x:v>
      </x:c>
    </x:row>
    <x:row r="160" ht="17.100000381469727">
      <x:c r="A160" s="48" t="s">
        <x:v>434</x:v>
      </x:c>
    </x:row>
    <x:row r="162">
      <x:c r="A162" t="s">
        <x:v>435</x:v>
      </x:c>
    </x:row>
    <x:row r="164">
      <x:c r="A164" t="s">
        <x:v>436</x:v>
      </x:c>
    </x:row>
    <x:row r="165">
      <x:c r="A165" s="36"/>
    </x:row>
    <x:row r="166">
      <x:c r="A166" s="36" t="s">
        <x:v>437</x:v>
      </x:c>
    </x:row>
    <x:row r="167">
      <x:c r="A167" s="36" t="s">
        <x:v>438</x:v>
      </x:c>
    </x:row>
    <x:row r="168">
      <x:c r="A168" s="36" t="s">
        <x:v>439</x:v>
      </x:c>
    </x:row>
    <x:row r="169">
      <x:c r="A169" s="36" t="s">
        <x:v>440</x:v>
      </x:c>
    </x:row>
    <x:row r="170">
      <x:c r="A170" s="36" t="s">
        <x:v>441</x:v>
      </x:c>
    </x:row>
    <x:row r="172">
      <x:c r="A172" t="s">
        <x:v>442</x:v>
      </x:c>
    </x:row>
    <x:row r="176" ht="22.5">
      <x:c r="A176" s="51" t="s">
        <x:v>443</x:v>
      </x:c>
    </x:row>
    <x:row r="178">
      <x:c r="A178" t="s">
        <x:v>444</x:v>
      </x:c>
    </x:row>
    <x:row r="180">
      <x:c r="A180" t="s">
        <x:v>445</x:v>
      </x:c>
    </x:row>
    <x:row r="181">
      <x:c r="A181" s="36"/>
    </x:row>
    <x:row r="182">
      <x:c r="A182" s="36" t="s">
        <x:v>446</x:v>
      </x:c>
    </x:row>
    <x:row r="183">
      <x:c r="A183" s="36" t="s">
        <x:v>447</x:v>
      </x:c>
    </x:row>
    <x:row r="184">
      <x:c r="A184" s="36" t="s">
        <x:v>448</x:v>
      </x:c>
    </x:row>
    <x:row r="185">
      <x:c r="A185" s="36" t="s">
        <x:v>449</x:v>
      </x:c>
    </x:row>
    <x:row r="186">
      <x:c r="A186" s="36" t="s">
        <x:v>450</x:v>
      </x:c>
    </x:row>
    <x:row r="188">
      <x:c r="A188" t="s">
        <x:v>451</x:v>
      </x:c>
    </x:row>
    <x:row r="191" ht="14.100000381469727">
      <x:c r="A191" s="47" t="s">
        <x:v>338</x:v>
      </x:c>
    </x:row>
    <x:row r="192">
      <x:c r="A192" t="s">
        <x:v>452</x:v>
      </x:c>
    </x:row>
    <x:row r="193">
      <x:c r="A193" t="s">
        <x:v>453</x:v>
      </x:c>
    </x:row>
  </x:sheetData>
  <x:pageMargins left="0.7" right="0.7" top="0.75" bottom="0.75" header="0.3" footer="0.3"/>
</x:worksheet>
</file>

<file path=xl/worksheets/sheet7.xml><?xml version="1.0" encoding="utf-8"?>
<x:worksheet xmlns:x="http://schemas.openxmlformats.org/spreadsheetml/2006/main">
  <x:sheetFormatPr defaultRowHeight="13.800000190734863"/>
  <x:cols>
    <x:col min="1" max="1" width="40.234375" customWidth="1"/>
    <x:col min="2" max="2" width="24.046875" customWidth="1"/>
  </x:cols>
  <x:sheetData>
    <x:row r="1">
      <x:c r="A1" t="s">
        <x:v>454</x:v>
      </x:c>
    </x:row>
    <x:row r="3" ht="14.100000381469727">
      <x:c r="A3" s="52" t="s">
        <x:v>455</x:v>
      </x:c>
      <x:c r="B3" s="52" t="s">
        <x:v>456</x:v>
      </x:c>
    </x:row>
    <x:row r="4" ht="14.100000381469727">
      <x:c r="A4" s="41" t="s">
        <x:v>457</x:v>
      </x:c>
      <x:c r="B4" s="53" t="s">
        <x:v>458</x:v>
      </x:c>
    </x:row>
    <x:row r="5" ht="27.600000381469727">
      <x:c r="A5" s="41" t="s">
        <x:v>459</x:v>
      </x:c>
      <x:c r="B5" s="53" t="s">
        <x:v>460</x:v>
      </x:c>
    </x:row>
    <x:row r="6" ht="14.100000381469727">
      <x:c r="A6" s="41" t="s">
        <x:v>461</x:v>
      </x:c>
      <x:c r="B6" s="53" t="s">
        <x:v>462</x:v>
      </x:c>
    </x:row>
    <x:row r="7" ht="27.600000381469727">
      <x:c r="A7" s="41" t="s">
        <x:v>463</x:v>
      </x:c>
      <x:c r="B7" s="53" t="s">
        <x:v>464</x:v>
      </x:c>
    </x:row>
    <x:row r="8" ht="14.100000381469727">
      <x:c r="A8" s="41" t="s">
        <x:v>465</x:v>
      </x:c>
      <x:c r="B8" s="53" t="s">
        <x:v>466</x:v>
      </x:c>
    </x:row>
    <x:row r="9" ht="14.100000381469727">
      <x:c r="A9" s="41" t="s">
        <x:v>467</x:v>
      </x:c>
      <x:c r="B9" s="53" t="s">
        <x:v>468</x:v>
      </x:c>
    </x:row>
    <x:row r="10" ht="27.600000381469727">
      <x:c r="A10" s="41" t="s">
        <x:v>469</x:v>
      </x:c>
      <x:c r="B10" s="53" t="s">
        <x:v>470</x:v>
      </x:c>
    </x:row>
    <x:row r="11" ht="14.100000381469727">
      <x:c r="A11" s="41" t="s">
        <x:v>471</x:v>
      </x:c>
      <x:c r="B11" s="53" t="s">
        <x:v>472</x:v>
      </x:c>
    </x:row>
    <x:row r="12" ht="14.100000381469727">
      <x:c r="A12" s="41" t="s">
        <x:v>473</x:v>
      </x:c>
      <x:c r="B12" s="53" t="s">
        <x:v>470</x:v>
      </x:c>
    </x:row>
    <x:row r="13" ht="27.600000381469727">
      <x:c r="A13" s="41" t="s">
        <x:v>474</x:v>
      </x:c>
      <x:c r="B13" s="53" t="s">
        <x:v>460</x:v>
      </x:c>
    </x:row>
    <x:row r="15" ht="17.100000381469727">
      <x:c r="A15" s="48" t="s">
        <x:v>475</x:v>
      </x:c>
    </x:row>
    <x:row r="16">
      <x:c r="A16" s="36"/>
    </x:row>
    <x:row r="17" ht="14.100000381469727">
      <x:c r="A17" s="50" t="s">
        <x:v>476</x:v>
      </x:c>
    </x:row>
    <x:row r="18" ht="14.100000381469727">
      <x:c r="A18" s="50" t="s">
        <x:v>477</x:v>
      </x:c>
    </x:row>
    <x:row r="19" ht="14.100000381469727">
      <x:c r="A19" s="50" t="s">
        <x:v>478</x:v>
      </x:c>
    </x:row>
    <x:row r="23" ht="22.5">
      <x:c r="A23" s="51" t="s">
        <x:v>479</x:v>
      </x:c>
    </x:row>
    <x:row r="25" ht="14.100000381469727">
      <x:c r="A25" t="s">
        <x:v>480</x:v>
      </x:c>
    </x:row>
    <x:row r="27">
      <x:c r="A27" t="s">
        <x:v>481</x:v>
      </x:c>
    </x:row>
    <x:row r="28">
      <x:c r="A28" s="36"/>
    </x:row>
    <x:row r="29" ht="14.100000381469727">
      <x:c r="A29" s="50" t="s">
        <x:v>482</x:v>
      </x:c>
    </x:row>
    <x:row r="30" ht="14.100000381469727">
      <x:c r="A30" s="50" t="s">
        <x:v>483</x:v>
      </x:c>
    </x:row>
    <x:row r="34" ht="22.5">
      <x:c r="A34" s="51" t="s">
        <x:v>484</x:v>
      </x:c>
    </x:row>
    <x:row r="36">
      <x:c r="A36" t="s">
        <x:v>485</x:v>
      </x:c>
    </x:row>
    <x:row r="38" ht="14.100000381469727">
      <x:c r="A38" t="s">
        <x:v>486</x:v>
      </x:c>
    </x:row>
    <x:row r="39">
      <x:c r="A39" s="36"/>
    </x:row>
    <x:row r="40">
      <x:c r="A40" s="36" t="s">
        <x:v>487</x:v>
      </x:c>
    </x:row>
    <x:row r="41">
      <x:c r="A41" s="36" t="s">
        <x:v>488</x:v>
      </x:c>
    </x:row>
    <x:row r="42">
      <x:c r="A42" s="36" t="s">
        <x:v>489</x:v>
      </x:c>
    </x:row>
    <x:row r="43">
      <x:c r="A43" s="36" t="s">
        <x:v>490</x:v>
      </x:c>
    </x:row>
    <x:row r="44">
      <x:c r="A44" s="36" t="s">
        <x:v>491</x:v>
      </x:c>
    </x:row>
    <x:row r="46">
      <x:c r="A46" t="s">
        <x:v>492</x:v>
      </x:c>
    </x:row>
    <x:row r="47">
      <x:c r="A47" s="36"/>
    </x:row>
    <x:row r="48">
      <x:c r="A48" s="36" t="s">
        <x:v>493</x:v>
      </x:c>
    </x:row>
    <x:row r="49">
      <x:c r="A49" s="36" t="s">
        <x:v>494</x:v>
      </x:c>
    </x:row>
    <x:row r="50">
      <x:c r="A50" s="36" t="s">
        <x:v>495</x:v>
      </x:c>
    </x:row>
    <x:row r="51">
      <x:c r="A51" s="36" t="s">
        <x:v>496</x:v>
      </x:c>
    </x:row>
    <x:row r="53">
      <x:c r="A53" t="s">
        <x:v>497</x:v>
      </x:c>
    </x:row>
    <x:row r="57" ht="22.5">
      <x:c r="A57" s="51" t="s">
        <x:v>498</x:v>
      </x:c>
    </x:row>
    <x:row r="59" ht="14.100000381469727">
      <x:c r="A59" t="s">
        <x:v>499</x:v>
      </x:c>
    </x:row>
    <x:row r="61">
      <x:c r="A61" t="s">
        <x:v>500</x:v>
      </x:c>
    </x:row>
    <x:row r="63" ht="14.100000381469727">
      <x:c r="A63" s="47" t="s">
        <x:v>501</x:v>
      </x:c>
    </x:row>
    <x:row r="64">
      <x:c r="A64" s="36"/>
    </x:row>
    <x:row r="65">
      <x:c r="A65" s="36" t="s">
        <x:v>288</x:v>
      </x:c>
    </x:row>
    <x:row r="66">
      <x:c r="A66" s="36" t="s">
        <x:v>502</x:v>
      </x:c>
    </x:row>
    <x:row r="67">
      <x:c r="A67" s="36" t="s">
        <x:v>503</x:v>
      </x:c>
    </x:row>
    <x:row r="69" ht="14.100000381469727">
      <x:c r="A69" s="47" t="s">
        <x:v>504</x:v>
      </x:c>
    </x:row>
    <x:row r="70">
      <x:c r="A70" s="36"/>
    </x:row>
    <x:row r="71">
      <x:c r="A71" s="36" t="s">
        <x:v>505</x:v>
      </x:c>
    </x:row>
    <x:row r="72">
      <x:c r="A72" s="36" t="s">
        <x:v>506</x:v>
      </x:c>
    </x:row>
    <x:row r="73">
      <x:c r="A73" s="36" t="s">
        <x:v>507</x:v>
      </x:c>
    </x:row>
    <x:row r="75" ht="14.100000381469727">
      <x:c r="A75" s="47" t="s">
        <x:v>508</x:v>
      </x:c>
    </x:row>
    <x:row r="76">
      <x:c r="A76" s="36"/>
    </x:row>
    <x:row r="77">
      <x:c r="A77" s="36" t="s">
        <x:v>509</x:v>
      </x:c>
    </x:row>
    <x:row r="78">
      <x:c r="A78" s="36" t="s">
        <x:v>510</x:v>
      </x:c>
    </x:row>
    <x:row r="79">
      <x:c r="A79" s="36" t="s">
        <x:v>511</x:v>
      </x:c>
    </x:row>
    <x:row r="80">
      <x:c r="A80" s="36" t="s">
        <x:v>512</x:v>
      </x:c>
    </x:row>
    <x:row r="82">
      <x:c r="A82" t="s">
        <x:v>513</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3.800000190734863"/>
  <x:cols>
    <x:col min="1" max="1" width="16" customWidth="1"/>
    <x:col min="2" max="2" width="25" customWidth="1"/>
    <x:col min="3" max="8" width="24" customWidth="1"/>
    <x:col min="9" max="13" width="16" customWidth="1"/>
    <x:col min="14" max="14" width="19" customWidth="1"/>
    <x:col min="15" max="16" width="26" customWidth="1"/>
  </x:cols>
  <x:sheetData>
    <x:row r="1" ht="34" customHeight="1">
      <x:c r="A1" s="24" t="s">
        <x:v>514</x:v>
      </x:c>
      <x:c r="B1" s="24"/>
      <x:c r="C1" s="24"/>
      <x:c r="D1" s="24"/>
      <x:c r="E1" s="24"/>
      <x:c r="F1" s="24"/>
      <x:c r="G1" s="24"/>
      <x:c r="H1" s="24"/>
      <x:c r="I1" s="24"/>
      <x:c r="J1" s="24"/>
      <x:c r="K1" s="24"/>
      <x:c r="L1" s="24"/>
      <x:c r="M1" s="24"/>
      <x:c r="N1" s="24"/>
      <x:c r="O1" s="24"/>
      <x:c r="P1" s="24"/>
    </x:row>
    <x:row r="2" ht="32.04999923706055" customHeight="1">
      <x:c r="A2" s="25" t="s">
        <x:v>515</x:v>
      </x:c>
      <x:c r="B2" s="25"/>
      <x:c r="C2" s="25"/>
      <x:c r="D2" s="25"/>
      <x:c r="E2" s="25"/>
      <x:c r="F2" s="25"/>
      <x:c r="G2" s="25"/>
      <x:c r="H2" s="25"/>
      <x:c r="I2" s="25"/>
      <x:c r="J2" s="25"/>
      <x:c r="K2" s="25"/>
      <x:c r="L2" s="25"/>
      <x:c r="M2" s="25"/>
      <x:c r="N2" s="25"/>
      <x:c r="O2" s="25"/>
      <x:c r="P2" s="25"/>
    </x:row>
    <x:row r="4" ht="34" customHeight="1">
      <x:c r="A4" s="1" t="s">
        <x:v>516</x:v>
      </x:c>
      <x:c r="B4" s="2" t="s">
        <x:v>517</x:v>
      </x:c>
      <x:c r="C4" s="2" t="s">
        <x:v>518</x:v>
      </x:c>
      <x:c r="D4" s="2" t="s">
        <x:v>519</x:v>
      </x:c>
      <x:c r="E4" s="2" t="s">
        <x:v>520</x:v>
      </x:c>
      <x:c r="F4" s="2" t="s">
        <x:v>521</x:v>
      </x:c>
      <x:c r="G4" s="2" t="s">
        <x:v>522</x:v>
      </x:c>
      <x:c r="H4" s="2" t="s">
        <x:v>523</x:v>
      </x:c>
      <x:c r="I4" s="2" t="s">
        <x:v>524</x:v>
      </x:c>
      <x:c r="J4" s="2" t="s">
        <x:v>5</x:v>
      </x:c>
      <x:c r="K4" s="2" t="s">
        <x:v>525</x:v>
      </x:c>
      <x:c r="L4" s="2" t="s">
        <x:v>526</x:v>
      </x:c>
      <x:c r="M4" s="2" t="s">
        <x:v>527</x:v>
      </x:c>
      <x:c r="N4" s="2" t="s">
        <x:v>528</x:v>
      </x:c>
      <x:c r="O4" s="2" t="s">
        <x:v>529</x:v>
      </x:c>
      <x:c r="P4" s="3" t="s">
        <x:v>530</x:v>
      </x:c>
    </x:row>
    <x:row r="5" ht="64" customHeight="1">
      <x:c r="A5" s="15" t="s">
        <x:v>531</x:v>
      </x:c>
      <x:c r="B5" s="15" t="s">
        <x:v>532</x:v>
      </x:c>
      <x:c r="C5" s="15" t="s">
        <x:v>533</x:v>
      </x:c>
      <x:c r="D5" s="15" t="s">
        <x:v>534</x:v>
      </x:c>
      <x:c r="E5" s="15" t="s">
        <x:v>535</x:v>
      </x:c>
      <x:c r="F5" s="15" t="s">
        <x:v>536</x:v>
      </x:c>
      <x:c r="G5" s="15" t="s">
        <x:v>537</x:v>
      </x:c>
      <x:c r="H5" s="15" t="s">
        <x:v>538</x:v>
      </x:c>
      <x:c r="I5" s="15">
        <x:v>28</x:v>
      </x:c>
      <x:c r="J5" s="15" t="n">
        <x:f>COUNTIF('Artifact Forensics'!$A$5:$A$28,A5)</x:f>
        <x:v>3</x:v>
      </x:c>
      <x:c r="K5" s="17" t="n">
        <x:f>IFERROR(AVERAGEIF('Artifact Forensics'!$A$5:$A$28,A5,'Artifact Forensics'!$H$5:$H$28),0)</x:f>
        <x:v>0.6333333333333333</x:v>
      </x:c>
      <x:c r="L5" s="17" t="n">
        <x:f>IFERROR(AVERAGEIF('Artifact Forensics'!$A$5:$A$28,A5,'Artifact Forensics'!$I$5:$I$28),0)</x:f>
        <x:v>0.5166666666666666</x:v>
      </x:c>
      <x:c r="M5" s="17" t="n">
        <x:f>IFERROR(AVERAGEIF('Artifact Forensics'!$A$5:$A$28,A5,'Artifact Forensics'!$K$5:$K$28),0)</x:f>
        <x:v>0.4626666666666666</x:v>
      </x:c>
      <x:c r="N5" s="15" t="s">
        <x:v>539</x:v>
      </x:c>
      <x:c r="O5" s="15" t="s">
        <x:v>540</x:v>
      </x:c>
      <x:c r="P5" s="15" t="s">
        <x:v>541</x:v>
      </x:c>
    </x:row>
    <x:row r="6" ht="64" customHeight="1">
      <x:c r="A6" s="5" t="s">
        <x:v>542</x:v>
      </x:c>
      <x:c r="B6" s="5" t="s">
        <x:v>543</x:v>
      </x:c>
      <x:c r="C6" s="5" t="s">
        <x:v>544</x:v>
      </x:c>
      <x:c r="D6" s="5" t="s">
        <x:v>545</x:v>
      </x:c>
      <x:c r="E6" s="5" t="s">
        <x:v>546</x:v>
      </x:c>
      <x:c r="F6" s="5" t="s">
        <x:v>547</x:v>
      </x:c>
      <x:c r="G6" s="5" t="s">
        <x:v>548</x:v>
      </x:c>
      <x:c r="H6" s="5" t="s">
        <x:v>549</x:v>
      </x:c>
      <x:c r="I6" s="5">
        <x:v>92</x:v>
      </x:c>
      <x:c r="J6" s="5" t="n">
        <x:f>COUNTIF('Artifact Forensics'!$A$5:$A$28,A6)</x:f>
        <x:v>2</x:v>
      </x:c>
      <x:c r="K6" s="8" t="n">
        <x:f>IFERROR(AVERAGEIF('Artifact Forensics'!$A$5:$A$28,A6,'Artifact Forensics'!$H$5:$H$28),0)</x:f>
        <x:v>0.9</x:v>
      </x:c>
      <x:c r="L6" s="8" t="n">
        <x:f>IFERROR(AVERAGEIF('Artifact Forensics'!$A$5:$A$28,A6,'Artifact Forensics'!$I$5:$I$28),0)</x:f>
        <x:v>0.86</x:v>
      </x:c>
      <x:c r="M6" s="8" t="n">
        <x:f>IFERROR(AVERAGEIF('Artifact Forensics'!$A$5:$A$28,A6,'Artifact Forensics'!$K$5:$K$28),0)</x:f>
        <x:v>0.886</x:v>
      </x:c>
      <x:c r="N6" s="5" t="s">
        <x:v>550</x:v>
      </x:c>
      <x:c r="O6" s="5" t="s">
        <x:v>540</x:v>
      </x:c>
      <x:c r="P6" s="5" t="s">
        <x:v>551</x:v>
      </x:c>
    </x:row>
    <x:row r="7" ht="64" customHeight="1">
      <x:c r="A7" s="19" t="s">
        <x:v>552</x:v>
      </x:c>
      <x:c r="B7" s="19" t="s">
        <x:v>553</x:v>
      </x:c>
      <x:c r="C7" s="19" t="s">
        <x:v>554</x:v>
      </x:c>
      <x:c r="D7" s="19" t="s">
        <x:v>555</x:v>
      </x:c>
      <x:c r="E7" s="19" t="s">
        <x:v>556</x:v>
      </x:c>
      <x:c r="F7" s="19" t="s">
        <x:v>557</x:v>
      </x:c>
      <x:c r="G7" s="19" t="s">
        <x:v>558</x:v>
      </x:c>
      <x:c r="H7" s="19" t="s">
        <x:v>559</x:v>
      </x:c>
      <x:c r="I7" s="19">
        <x:v>135</x:v>
      </x:c>
      <x:c r="J7" s="19" t="n">
        <x:f>COUNTIF('Artifact Forensics'!$A$5:$A$28,A7)</x:f>
        <x:v>7</x:v>
      </x:c>
      <x:c r="K7" s="21" t="n">
        <x:f>IFERROR(AVERAGEIF('Artifact Forensics'!$A$5:$A$28,A7,'Artifact Forensics'!$H$5:$H$28),0)</x:f>
        <x:v>0.8357142857142857</x:v>
      </x:c>
      <x:c r="L7" s="21" t="n">
        <x:f>IFERROR(AVERAGEIF('Artifact Forensics'!$A$5:$A$28,A7,'Artifact Forensics'!$I$5:$I$28),0)</x:f>
        <x:v>0.7914285714285715</x:v>
      </x:c>
      <x:c r="M7" s="21" t="n">
        <x:f>IFERROR(AVERAGEIF('Artifact Forensics'!$A$5:$A$28,A7,'Artifact Forensics'!$K$5:$K$28),0)</x:f>
        <x:v>0.7904285714285714</x:v>
      </x:c>
      <x:c r="N7" s="19" t="s">
        <x:v>539</x:v>
      </x:c>
      <x:c r="O7" s="19" t="s">
        <x:v>540</x:v>
      </x:c>
      <x:c r="P7" s="19" t="s">
        <x:v>560</x:v>
      </x:c>
    </x:row>
    <x:row r="8" ht="64" customHeight="1">
      <x:c r="A8" s="5" t="s">
        <x:v>561</x:v>
      </x:c>
      <x:c r="B8" s="5" t="s">
        <x:v>562</x:v>
      </x:c>
      <x:c r="C8" s="5" t="s">
        <x:v>563</x:v>
      </x:c>
      <x:c r="D8" s="5" t="s">
        <x:v>564</x:v>
      </x:c>
      <x:c r="E8" s="5" t="s">
        <x:v>565</x:v>
      </x:c>
      <x:c r="F8" s="5" t="s">
        <x:v>566</x:v>
      </x:c>
      <x:c r="G8" s="5" t="s">
        <x:v>567</x:v>
      </x:c>
      <x:c r="H8" s="5" t="s">
        <x:v>568</x:v>
      </x:c>
      <x:c r="I8" s="5">
        <x:v>120</x:v>
      </x:c>
      <x:c r="J8" s="5" t="n">
        <x:f>COUNTIF('Artifact Forensics'!$A$5:$A$28,A8)</x:f>
        <x:v>3</x:v>
      </x:c>
      <x:c r="K8" s="8" t="n">
        <x:f>IFERROR(AVERAGEIF('Artifact Forensics'!$A$5:$A$28,A8,'Artifact Forensics'!$H$5:$H$28),0)</x:f>
        <x:v>0.7333333333333334</x:v>
      </x:c>
      <x:c r="L8" s="8" t="n">
        <x:f>IFERROR(AVERAGEIF('Artifact Forensics'!$A$5:$A$28,A8,'Artifact Forensics'!$I$5:$I$28),0)</x:f>
        <x:v>0.7066666666666667</x:v>
      </x:c>
      <x:c r="M8" s="8" t="n">
        <x:f>IFERROR(AVERAGEIF('Artifact Forensics'!$A$5:$A$28,A8,'Artifact Forensics'!$K$5:$K$28),0)</x:f>
        <x:v>0.6866666666666666</x:v>
      </x:c>
      <x:c r="N8" s="5" t="s">
        <x:v>539</x:v>
      </x:c>
      <x:c r="O8" s="5" t="s">
        <x:v>540</x:v>
      </x:c>
      <x:c r="P8" s="5" t="s">
        <x:v>569</x:v>
      </x:c>
    </x:row>
    <x:row r="9" ht="64" customHeight="1">
      <x:c r="A9" s="19" t="s">
        <x:v>570</x:v>
      </x:c>
      <x:c r="B9" s="19" t="s">
        <x:v>571</x:v>
      </x:c>
      <x:c r="C9" s="19" t="s">
        <x:v>572</x:v>
      </x:c>
      <x:c r="D9" s="19" t="s">
        <x:v>573</x:v>
      </x:c>
      <x:c r="E9" s="19" t="s">
        <x:v>574</x:v>
      </x:c>
      <x:c r="F9" s="19" t="s">
        <x:v>575</x:v>
      </x:c>
      <x:c r="G9" s="19" t="s">
        <x:v>576</x:v>
      </x:c>
      <x:c r="H9" s="19" t="s">
        <x:v>577</x:v>
      </x:c>
      <x:c r="I9" s="19">
        <x:v>496</x:v>
      </x:c>
      <x:c r="J9" s="19" t="n">
        <x:f>COUNTIF('Artifact Forensics'!$A$5:$A$28,A9)</x:f>
        <x:v>5</x:v>
      </x:c>
      <x:c r="K9" s="21" t="n">
        <x:f>IFERROR(AVERAGEIF('Artifact Forensics'!$A$5:$A$28,A9,'Artifact Forensics'!$H$5:$H$28),0)</x:f>
        <x:v>0.9700000000000001</x:v>
      </x:c>
      <x:c r="L9" s="21" t="n">
        <x:f>IFERROR(AVERAGEIF('Artifact Forensics'!$A$5:$A$28,A9,'Artifact Forensics'!$I$5:$I$28),0)</x:f>
        <x:v>0.944</x:v>
      </x:c>
      <x:c r="M9" s="21" t="n">
        <x:f>IFERROR(AVERAGEIF('Artifact Forensics'!$A$5:$A$28,A9,'Artifact Forensics'!$K$5:$K$28),0)</x:f>
        <x:v>0.966</x:v>
      </x:c>
      <x:c r="N9" s="19" t="s">
        <x:v>550</x:v>
      </x:c>
      <x:c r="O9" s="19" t="s">
        <x:v>540</x:v>
      </x:c>
      <x:c r="P9" s="19" t="s">
        <x:v>578</x:v>
      </x:c>
    </x:row>
    <x:row r="10" ht="64" customHeight="1">
      <x:c r="A10" s="5" t="s">
        <x:v>579</x:v>
      </x:c>
      <x:c r="B10" s="5" t="s">
        <x:v>580</x:v>
      </x:c>
      <x:c r="C10" s="5" t="s">
        <x:v>581</x:v>
      </x:c>
      <x:c r="D10" s="5" t="s">
        <x:v>582</x:v>
      </x:c>
      <x:c r="E10" s="5" t="s">
        <x:v>583</x:v>
      </x:c>
      <x:c r="F10" s="5" t="s">
        <x:v>584</x:v>
      </x:c>
      <x:c r="G10" s="5" t="s">
        <x:v>585</x:v>
      </x:c>
      <x:c r="H10" s="5" t="s">
        <x:v>586</x:v>
      </x:c>
      <x:c r="I10" s="5">
        <x:v>1</x:v>
      </x:c>
      <x:c r="J10" s="5" t="n">
        <x:f>COUNTIF('Artifact Forensics'!$A$5:$A$28,A10)</x:f>
        <x:v>3</x:v>
      </x:c>
      <x:c r="K10" s="8" t="n">
        <x:f>IFERROR(AVERAGEIF('Artifact Forensics'!$A$5:$A$28,A10,'Artifact Forensics'!$H$5:$H$28),0)</x:f>
        <x:v>0.9833333333333334</x:v>
      </x:c>
      <x:c r="L10" s="8" t="n">
        <x:f>IFERROR(AVERAGEIF('Artifact Forensics'!$A$5:$A$28,A10,'Artifact Forensics'!$I$5:$I$28),0)</x:f>
        <x:v>0.9333333333333332</x:v>
      </x:c>
      <x:c r="M10" s="8" t="n">
        <x:f>IFERROR(AVERAGEIF('Artifact Forensics'!$A$5:$A$28,A10,'Artifact Forensics'!$K$5:$K$28),0)</x:f>
        <x:v>0.9703333333333334</x:v>
      </x:c>
      <x:c r="N10" s="5" t="s">
        <x:v>11</x:v>
      </x:c>
      <x:c r="O10" s="5" t="s">
        <x:v>540</x:v>
      </x:c>
      <x:c r="P10" s="5" t="s">
        <x:v>587</x:v>
      </x:c>
    </x:row>
    <x:row r="11" ht="64" customHeight="1">
      <x:c r="A11" s="19" t="s">
        <x:v>588</x:v>
      </x:c>
      <x:c r="B11" s="19" t="s">
        <x:v>589</x:v>
      </x:c>
      <x:c r="C11" s="19" t="s">
        <x:v>590</x:v>
      </x:c>
      <x:c r="D11" s="19" t="s">
        <x:v>591</x:v>
      </x:c>
      <x:c r="E11" s="19" t="s">
        <x:v>592</x:v>
      </x:c>
      <x:c r="F11" s="19" t="s">
        <x:v>593</x:v>
      </x:c>
      <x:c r="G11" s="19" t="s">
        <x:v>594</x:v>
      </x:c>
      <x:c r="H11" s="19" t="s">
        <x:v>595</x:v>
      </x:c>
      <x:c r="I11" s="19">
        <x:v>0</x:v>
      </x:c>
      <x:c r="J11" s="19" t="n">
        <x:f>COUNTIF('Artifact Forensics'!$A$5:$A$28,A11)</x:f>
        <x:v>1</x:v>
      </x:c>
      <x:c r="K11" s="21" t="n">
        <x:f>IFERROR(AVERAGEIF('Artifact Forensics'!$A$5:$A$28,A11,'Artifact Forensics'!$H$5:$H$28),0)</x:f>
        <x:v>1</x:v>
      </x:c>
      <x:c r="L11" s="21" t="n">
        <x:f>IFERROR(AVERAGEIF('Artifact Forensics'!$A$5:$A$28,A11,'Artifact Forensics'!$I$5:$I$28),0)</x:f>
        <x:v>1</x:v>
      </x:c>
      <x:c r="M11" s="21" t="n">
        <x:f>IFERROR(AVERAGEIF('Artifact Forensics'!$A$5:$A$28,A11,'Artifact Forensics'!$K$5:$K$28),0)</x:f>
        <x:v>1</x:v>
      </x:c>
      <x:c r="N11" s="19" t="s">
        <x:v>11</x:v>
      </x:c>
      <x:c r="O11" s="19" t="s">
        <x:v>540</x:v>
      </x:c>
      <x:c r="P11" s="19" t="s">
        <x:v>596</x:v>
      </x:c>
    </x:row>
    <x:row r="12" ht="64" customHeight="1">
      <x:c r="A12" s="6" t="s">
        <x:v>9</x:v>
      </x:c>
      <x:c r="B12" s="6" t="s">
        <x:v>597</x:v>
      </x:c>
      <x:c r="C12" s="6" t="s">
        <x:v>598</x:v>
      </x:c>
      <x:c r="D12" s="6" t="s">
        <x:v>599</x:v>
      </x:c>
      <x:c r="E12" s="6" t="s">
        <x:v>600</x:v>
      </x:c>
      <x:c r="F12" s="6" t="s">
        <x:v>601</x:v>
      </x:c>
      <x:c r="G12" s="6" t="s">
        <x:v>602</x:v>
      </x:c>
      <x:c r="H12" s="6" t="s">
        <x:v>595</x:v>
      </x:c>
      <x:c r="I12" s="6">
        <x:v>0</x:v>
      </x:c>
      <x:c r="J12" s="6">
        <x:v>0</x:v>
      </x:c>
      <x:c r="K12" s="9">
        <x:v>0</x:v>
      </x:c>
      <x:c r="L12" s="9">
        <x:v>0</x:v>
      </x:c>
      <x:c r="M12" s="9">
        <x:v>0</x:v>
      </x:c>
      <x:c r="N12" s="6" t="s">
        <x:v>14</x:v>
      </x:c>
      <x:c r="O12" s="6" t="s">
        <x:v>540</x:v>
      </x:c>
      <x:c r="P12" s="6" t="s">
        <x:v>603</x:v>
      </x:c>
    </x:row>
  </x:sheetData>
  <x:mergeCells>
    <x:mergeCell ref="A1:P1"/>
    <x:mergeCell ref="A2:P2"/>
  </x:mergeCells>
  <x:conditionalFormatting sqref="K5:M12">
    <x:cfRule type="cellIs" dxfId="17" priority="1" operator="lessThan">
      <x:formula>0.7</x:formula>
    </x:cfRule>
    <x:cfRule type="cellIs" dxfId="16" priority="2" operator="between">
      <x:formula>0.7</x:formula>
      <x:formula>0.8499</x:formula>
    </x:cfRule>
    <x:cfRule type="cellIs" dxfId="15" priority="3" operator="greaterThanOrEqual">
      <x:formula>0.85</x:formula>
    </x:cfRule>
  </x:conditionalFormatting>
  <x:conditionalFormatting sqref="N5:N12">
    <x:cfRule type="containsText" dxfId="14" priority="4" operator="containsText" text="PASS"/>
    <x:cfRule type="containsText" dxfId="13" priority="5" operator="containsText" text="NEEDS"/>
    <x:cfRule type="containsText" dxfId="12" priority="6" operator="containsText" text="UNPROVEN"/>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3.800000190734863"/>
  <x:cols>
    <x:col min="1" max="2" width="13" customWidth="1"/>
    <x:col min="3" max="3" width="29" customWidth="1"/>
    <x:col min="4" max="11" width="13" customWidth="1"/>
    <x:col min="12" max="12" width="46" customWidth="1"/>
    <x:col min="13" max="13" width="37" customWidth="1"/>
    <x:col min="14" max="14" width="23" customWidth="1"/>
  </x:cols>
  <x:sheetData>
    <x:row r="1" ht="34" customHeight="1">
      <x:c r="A1" s="24" t="s">
        <x:v>604</x:v>
      </x:c>
      <x:c r="B1" s="24"/>
      <x:c r="C1" s="24"/>
      <x:c r="D1" s="24"/>
      <x:c r="E1" s="24"/>
      <x:c r="F1" s="24"/>
      <x:c r="G1" s="24"/>
      <x:c r="H1" s="24"/>
      <x:c r="I1" s="24"/>
      <x:c r="J1" s="24"/>
      <x:c r="K1" s="24"/>
      <x:c r="L1" s="24"/>
      <x:c r="M1" s="24"/>
      <x:c r="N1" s="24"/>
    </x:row>
    <x:row r="2" ht="32.04999923706055" customHeight="1">
      <x:c r="A2" s="25" t="s">
        <x:v>605</x:v>
      </x:c>
      <x:c r="B2" s="25"/>
      <x:c r="C2" s="25"/>
      <x:c r="D2" s="25"/>
      <x:c r="E2" s="25"/>
      <x:c r="F2" s="25"/>
      <x:c r="G2" s="25"/>
      <x:c r="H2" s="25"/>
      <x:c r="I2" s="25"/>
      <x:c r="J2" s="25"/>
      <x:c r="K2" s="25"/>
      <x:c r="L2" s="25"/>
      <x:c r="M2" s="25"/>
      <x:c r="N2" s="25"/>
    </x:row>
    <x:row r="4" ht="34" customHeight="1">
      <x:c r="A4" s="1" t="s">
        <x:v>516</x:v>
      </x:c>
      <x:c r="B4" s="2" t="s">
        <x:v>517</x:v>
      </x:c>
      <x:c r="C4" s="2" t="s">
        <x:v>606</x:v>
      </x:c>
      <x:c r="D4" s="2" t="s">
        <x:v>607</x:v>
      </x:c>
      <x:c r="E4" s="2" t="s">
        <x:v>608</x:v>
      </x:c>
      <x:c r="F4" s="2" t="s">
        <x:v>609</x:v>
      </x:c>
      <x:c r="G4" s="2" t="s">
        <x:v>610</x:v>
      </x:c>
      <x:c r="H4" s="2" t="s">
        <x:v>525</x:v>
      </x:c>
      <x:c r="I4" s="2" t="s">
        <x:v>526</x:v>
      </x:c>
      <x:c r="J4" s="2" t="s">
        <x:v>611</x:v>
      </x:c>
      <x:c r="K4" s="2" t="s">
        <x:v>527</x:v>
      </x:c>
      <x:c r="L4" s="2" t="s">
        <x:v>612</x:v>
      </x:c>
      <x:c r="M4" s="2" t="s">
        <x:v>613</x:v>
      </x:c>
      <x:c r="N4" s="3" t="s">
        <x:v>614</x:v>
      </x:c>
    </x:row>
    <x:row r="5" ht="38.04999923706055" customHeight="1">
      <x:c r="A5" s="15" t="s">
        <x:v>531</x:v>
      </x:c>
      <x:c r="B5" s="15" t="s">
        <x:v>615</x:v>
      </x:c>
      <x:c r="C5" s="15" t="s">
        <x:v>616</x:v>
      </x:c>
      <x:c r="D5" s="15" t="s">
        <x:v>617</x:v>
      </x:c>
      <x:c r="E5" s="16">
        <x:v>8620</x:v>
      </x:c>
      <x:c r="F5" s="16" t="s">
        <x:v>618</x:v>
      </x:c>
      <x:c r="G5" s="16">
        <x:v>9</x:v>
      </x:c>
      <x:c r="H5" s="17">
        <x:v>0.7</x:v>
      </x:c>
      <x:c r="I5" s="17">
        <x:v>0.55000000000000004</x:v>
      </x:c>
      <x:c r="J5" s="17">
        <x:v>0</x:v>
      </x:c>
      <x:c r="K5" s="17" t="n">
        <x:f t="shared" ref="K5:K28" si="0">ROUND(H5*0.4+I5*0.35+J5*0.25,3)</x:f>
        <x:v>0.473</x:v>
      </x:c>
      <x:c r="L5" s="15" t="s">
        <x:v>619</x:v>
      </x:c>
      <x:c r="M5" s="15" t="s">
        <x:v>620</x:v>
      </x:c>
      <x:c r="N5" s="18">
        <x:v>46223.012267905091</x:v>
      </x:c>
    </x:row>
    <x:row r="6" ht="38.04999923706055" customHeight="1">
      <x:c r="A6" s="5" t="s">
        <x:v>531</x:v>
      </x:c>
      <x:c r="B6" s="5" t="s">
        <x:v>615</x:v>
      </x:c>
      <x:c r="C6" s="5" t="s">
        <x:v>621</x:v>
      </x:c>
      <x:c r="D6" s="5" t="s">
        <x:v>617</x:v>
      </x:c>
      <x:c r="E6" s="10">
        <x:v>7986</x:v>
      </x:c>
      <x:c r="F6" s="10" t="s">
        <x:v>618</x:v>
      </x:c>
      <x:c r="G6" s="10">
        <x:v>12</x:v>
      </x:c>
      <x:c r="H6" s="8">
        <x:v>0.75</x:v>
      </x:c>
      <x:c r="I6" s="8">
        <x:v>0.6</x:v>
      </x:c>
      <x:c r="J6" s="8">
        <x:v>0</x:v>
      </x:c>
      <x:c r="K6" s="8">
        <x:f t="shared" si="0"/>
        <x:v>0.51</x:v>
      </x:c>
      <x:c r="L6" s="5" t="s">
        <x:v>622</x:v>
      </x:c>
      <x:c r="M6" s="5" t="s">
        <x:v>623</x:v>
      </x:c>
      <x:c r="N6" s="12">
        <x:v>46223.012268680555</x:v>
      </x:c>
    </x:row>
    <x:row r="7" ht="38.04999923706055" customHeight="1">
      <x:c r="A7" s="19" t="s">
        <x:v>531</x:v>
      </x:c>
      <x:c r="B7" s="19" t="s">
        <x:v>624</x:v>
      </x:c>
      <x:c r="C7" s="19" t="s">
        <x:v>625</x:v>
      </x:c>
      <x:c r="D7" s="19" t="s">
        <x:v>617</x:v>
      </x:c>
      <x:c r="E7" s="20">
        <x:v>174</x:v>
      </x:c>
      <x:c r="F7" s="20" t="s">
        <x:v>618</x:v>
      </x:c>
      <x:c r="G7" s="20">
        <x:v>5</x:v>
      </x:c>
      <x:c r="H7" s="21">
        <x:v>0.45</x:v>
      </x:c>
      <x:c r="I7" s="21">
        <x:v>0.4</x:v>
      </x:c>
      <x:c r="J7" s="21">
        <x:v>0.34</x:v>
      </x:c>
      <x:c r="K7" s="21">
        <x:f t="shared" si="0"/>
        <x:v>0.40500000000000003</x:v>
      </x:c>
      <x:c r="L7" s="19" t="s">
        <x:v>626</x:v>
      </x:c>
      <x:c r="M7" s="19" t="s">
        <x:v>627</x:v>
      </x:c>
      <x:c r="N7" s="22">
        <x:v>46223.012269085651</x:v>
      </x:c>
    </x:row>
    <x:row r="8" ht="38.04999923706055" customHeight="1">
      <x:c r="A8" s="5" t="s">
        <x:v>542</x:v>
      </x:c>
      <x:c r="B8" s="5" t="s">
        <x:v>628</x:v>
      </x:c>
      <x:c r="C8" s="5" t="s">
        <x:v>629</x:v>
      </x:c>
      <x:c r="D8" s="5" t="s">
        <x:v>617</x:v>
      </x:c>
      <x:c r="E8" s="10">
        <x:v>42490</x:v>
      </x:c>
      <x:c r="F8" s="10" t="s">
        <x:v>630</x:v>
      </x:c>
      <x:c r="G8" s="10">
        <x:v>12</x:v>
      </x:c>
      <x:c r="H8" s="8">
        <x:v>0.9</x:v>
      </x:c>
      <x:c r="I8" s="8">
        <x:v>0.86</x:v>
      </x:c>
      <x:c r="J8" s="8">
        <x:v>0.9</x:v>
      </x:c>
      <x:c r="K8" s="8">
        <x:f t="shared" si="0"/>
        <x:v>0.88600000000000001</x:v>
      </x:c>
      <x:c r="L8" s="5" t="s">
        <x:v>631</x:v>
      </x:c>
      <x:c r="M8" s="5" t="s">
        <x:v>632</x:v>
      </x:c>
      <x:c r="N8" s="12">
        <x:v>46223.013898645833</x:v>
      </x:c>
    </x:row>
    <x:row r="9" ht="38.04999923706055" customHeight="1">
      <x:c r="A9" s="19" t="s">
        <x:v>542</x:v>
      </x:c>
      <x:c r="B9" s="19" t="s">
        <x:v>633</x:v>
      </x:c>
      <x:c r="C9" s="19" t="s">
        <x:v>634</x:v>
      </x:c>
      <x:c r="D9" s="19" t="s">
        <x:v>617</x:v>
      </x:c>
      <x:c r="E9" s="20">
        <x:v>35528</x:v>
      </x:c>
      <x:c r="F9" s="20" t="s">
        <x:v>630</x:v>
      </x:c>
      <x:c r="G9" s="20">
        <x:v>19</x:v>
      </x:c>
      <x:c r="H9" s="21">
        <x:v>0.9</x:v>
      </x:c>
      <x:c r="I9" s="21">
        <x:v>0.86</x:v>
      </x:c>
      <x:c r="J9" s="21">
        <x:v>0.9</x:v>
      </x:c>
      <x:c r="K9" s="21">
        <x:f t="shared" si="0"/>
        <x:v>0.88600000000000001</x:v>
      </x:c>
      <x:c r="L9" s="19" t="s">
        <x:v>635</x:v>
      </x:c>
      <x:c r="M9" s="19" t="s">
        <x:v>636</x:v>
      </x:c>
      <x:c r="N9" s="22">
        <x:v>46223.014961516201</x:v>
      </x:c>
    </x:row>
    <x:row r="10" ht="38.04999923706055" customHeight="1">
      <x:c r="A10" s="5" t="s">
        <x:v>552</x:v>
      </x:c>
      <x:c r="B10" s="5" t="s">
        <x:v>637</x:v>
      </x:c>
      <x:c r="C10" s="5" t="s">
        <x:v>638</x:v>
      </x:c>
      <x:c r="D10" s="5" t="s">
        <x:v>617</x:v>
      </x:c>
      <x:c r="E10" s="10">
        <x:v>231</x:v>
      </x:c>
      <x:c r="F10" s="10" t="s">
        <x:v>618</x:v>
      </x:c>
      <x:c r="G10" s="10">
        <x:v>6</x:v>
      </x:c>
      <x:c r="H10" s="8">
        <x:v>0.55000000000000004</x:v>
      </x:c>
      <x:c r="I10" s="8">
        <x:v>0.5</x:v>
      </x:c>
      <x:c r="J10" s="8">
        <x:v>0</x:v>
      </x:c>
      <x:c r="K10" s="8">
        <x:f t="shared" si="0"/>
        <x:v>0.39500000000000002</x:v>
      </x:c>
      <x:c r="L10" s="5" t="s">
        <x:v>639</x:v>
      </x:c>
      <x:c r="M10" s="5" t="s">
        <x:v>640</x:v>
      </x:c>
      <x:c r="N10" s="12">
        <x:v>46223.014962766203</x:v>
      </x:c>
    </x:row>
    <x:row r="11" ht="38.04999923706055" customHeight="1">
      <x:c r="A11" s="19" t="s">
        <x:v>552</x:v>
      </x:c>
      <x:c r="B11" s="19" t="s">
        <x:v>641</x:v>
      </x:c>
      <x:c r="C11" s="19" t="s">
        <x:v>642</x:v>
      </x:c>
      <x:c r="D11" s="19" t="s">
        <x:v>617</x:v>
      </x:c>
      <x:c r="E11" s="20">
        <x:v>13586</x:v>
      </x:c>
      <x:c r="F11" s="20" t="s">
        <x:v>618</x:v>
      </x:c>
      <x:c r="G11" s="20">
        <x:v>13</x:v>
      </x:c>
      <x:c r="H11" s="21">
        <x:v>0.75</x:v>
      </x:c>
      <x:c r="I11" s="21">
        <x:v>0.7</x:v>
      </x:c>
      <x:c r="J11" s="21">
        <x:v>0.53</x:v>
      </x:c>
      <x:c r="K11" s="21">
        <x:f t="shared" si="0"/>
        <x:v>0.67800000000000005</x:v>
      </x:c>
      <x:c r="L11" s="19" t="s">
        <x:v>643</x:v>
      </x:c>
      <x:c r="M11" s="19" t="s">
        <x:v>644</x:v>
      </x:c>
      <x:c r="N11" s="22">
        <x:v>46223.015648449073</x:v>
      </x:c>
    </x:row>
    <x:row r="12" ht="38.04999923706055" customHeight="1">
      <x:c r="A12" s="5" t="s">
        <x:v>552</x:v>
      </x:c>
      <x:c r="B12" s="5" t="s">
        <x:v>645</x:v>
      </x:c>
      <x:c r="C12" s="5" t="s">
        <x:v>646</x:v>
      </x:c>
      <x:c r="D12" s="5" t="s">
        <x:v>617</x:v>
      </x:c>
      <x:c r="E12" s="10">
        <x:v>41827</x:v>
      </x:c>
      <x:c r="F12" s="10" t="s">
        <x:v>618</x:v>
      </x:c>
      <x:c r="G12" s="10">
        <x:v>5</x:v>
      </x:c>
      <x:c r="H12" s="8">
        <x:v>0.75</x:v>
      </x:c>
      <x:c r="I12" s="8">
        <x:v>0.7</x:v>
      </x:c>
      <x:c r="J12" s="8">
        <x:v>0.53</x:v>
      </x:c>
      <x:c r="K12" s="8">
        <x:f t="shared" si="0"/>
        <x:v>0.67800000000000005</x:v>
      </x:c>
      <x:c r="L12" s="5" t="s">
        <x:v>647</x:v>
      </x:c>
      <x:c r="M12" s="5" t="s">
        <x:v>648</x:v>
      </x:c>
      <x:c r="N12" s="12">
        <x:v>46223.015850011572</x:v>
      </x:c>
    </x:row>
    <x:row r="13" ht="38.04999923706055" customHeight="1">
      <x:c r="A13" s="19" t="s">
        <x:v>552</x:v>
      </x:c>
      <x:c r="B13" s="19" t="s">
        <x:v>649</x:v>
      </x:c>
      <x:c r="C13" s="19" t="s">
        <x:v>650</x:v>
      </x:c>
      <x:c r="D13" s="19" t="s">
        <x:v>617</x:v>
      </x:c>
      <x:c r="E13" s="20">
        <x:v>66309</x:v>
      </x:c>
      <x:c r="F13" s="20" t="s">
        <x:v>618</x:v>
      </x:c>
      <x:c r="G13" s="20">
        <x:v>10</x:v>
      </x:c>
      <x:c r="H13" s="21">
        <x:v>0.95</x:v>
      </x:c>
      <x:c r="I13" s="21">
        <x:v>0.9</x:v>
      </x:c>
      <x:c r="J13" s="21">
        <x:v>0.95</x:v>
      </x:c>
      <x:c r="K13" s="21">
        <x:f t="shared" si="0"/>
        <x:v>0.93300000000000005</x:v>
      </x:c>
      <x:c r="L13" s="19" t="s">
        <x:v>651</x:v>
      </x:c>
      <x:c r="M13" s="19" t="s">
        <x:v>652</x:v>
      </x:c>
      <x:c r="N13" s="22">
        <x:v>46223.016512106478</x:v>
      </x:c>
    </x:row>
    <x:row r="14" ht="38.04999923706055" customHeight="1">
      <x:c r="A14" s="5" t="s">
        <x:v>552</x:v>
      </x:c>
      <x:c r="B14" s="5" t="s">
        <x:v>653</x:v>
      </x:c>
      <x:c r="C14" s="5" t="s">
        <x:v>654</x:v>
      </x:c>
      <x:c r="D14" s="5" t="s">
        <x:v>617</x:v>
      </x:c>
      <x:c r="E14" s="10">
        <x:v>70592</x:v>
      </x:c>
      <x:c r="F14" s="10" t="s">
        <x:v>618</x:v>
      </x:c>
      <x:c r="G14" s="10">
        <x:v>11</x:v>
      </x:c>
      <x:c r="H14" s="8">
        <x:v>0.95</x:v>
      </x:c>
      <x:c r="I14" s="8">
        <x:v>0.9</x:v>
      </x:c>
      <x:c r="J14" s="8">
        <x:v>1</x:v>
      </x:c>
      <x:c r="K14" s="8">
        <x:f t="shared" si="0"/>
        <x:v>0.94499999999999995</x:v>
      </x:c>
      <x:c r="L14" s="5" t="s">
        <x:v>655</x:v>
      </x:c>
      <x:c r="M14" s="5" t="s">
        <x:v>656</x:v>
      </x:c>
      <x:c r="N14" s="12">
        <x:v>46223.016513530092</x:v>
      </x:c>
    </x:row>
    <x:row r="15" ht="38.04999923706055" customHeight="1">
      <x:c r="A15" s="19" t="s">
        <x:v>552</x:v>
      </x:c>
      <x:c r="B15" s="19" t="s">
        <x:v>657</x:v>
      </x:c>
      <x:c r="C15" s="19" t="s">
        <x:v>658</x:v>
      </x:c>
      <x:c r="D15" s="19" t="s">
        <x:v>617</x:v>
      </x:c>
      <x:c r="E15" s="20">
        <x:v>2938</x:v>
      </x:c>
      <x:c r="F15" s="20" t="s">
        <x:v>618</x:v>
      </x:c>
      <x:c r="G15" s="20">
        <x:v>12</x:v>
      </x:c>
      <x:c r="H15" s="21">
        <x:v>0.95</x:v>
      </x:c>
      <x:c r="I15" s="21">
        <x:v>0.92</x:v>
      </x:c>
      <x:c r="J15" s="21">
        <x:v>1</x:v>
      </x:c>
      <x:c r="K15" s="21">
        <x:f t="shared" si="0"/>
        <x:v>0.95199999999999996</x:v>
      </x:c>
      <x:c r="L15" s="19" t="s">
        <x:v>659</x:v>
      </x:c>
      <x:c r="M15" s="19" t="s">
        <x:v>660</x:v>
      </x:c>
      <x:c r="N15" s="22">
        <x:v>46223.016516018521</x:v>
      </x:c>
    </x:row>
    <x:row r="16" ht="38.04999923706055" customHeight="1">
      <x:c r="A16" s="5" t="s">
        <x:v>552</x:v>
      </x:c>
      <x:c r="B16" s="5" t="s">
        <x:v>661</x:v>
      </x:c>
      <x:c r="C16" s="5" t="s">
        <x:v>662</x:v>
      </x:c>
      <x:c r="D16" s="5" t="s">
        <x:v>617</x:v>
      </x:c>
      <x:c r="E16" s="10">
        <x:v>72197</x:v>
      </x:c>
      <x:c r="F16" s="10" t="s">
        <x:v>618</x:v>
      </x:c>
      <x:c r="G16" s="10">
        <x:v>10</x:v>
      </x:c>
      <x:c r="H16" s="8">
        <x:v>0.95</x:v>
      </x:c>
      <x:c r="I16" s="8">
        <x:v>0.92</x:v>
      </x:c>
      <x:c r="J16" s="8">
        <x:v>1</x:v>
      </x:c>
      <x:c r="K16" s="8">
        <x:f t="shared" si="0"/>
        <x:v>0.95199999999999996</x:v>
      </x:c>
      <x:c r="L16" s="5" t="s">
        <x:v>663</x:v>
      </x:c>
      <x:c r="M16" s="5" t="s">
        <x:v>664</x:v>
      </x:c>
      <x:c r="N16" s="12">
        <x:v>46223.016521817131</x:v>
      </x:c>
    </x:row>
    <x:row r="17" ht="38.04999923706055" customHeight="1">
      <x:c r="A17" s="19" t="s">
        <x:v>561</x:v>
      </x:c>
      <x:c r="B17" s="19" t="s">
        <x:v>665</x:v>
      </x:c>
      <x:c r="C17" s="19" t="s">
        <x:v>666</x:v>
      </x:c>
      <x:c r="D17" s="19" t="s">
        <x:v>617</x:v>
      </x:c>
      <x:c r="E17" s="20">
        <x:v>8230</x:v>
      </x:c>
      <x:c r="F17" s="20" t="s">
        <x:v>630</x:v>
      </x:c>
      <x:c r="G17" s="20">
        <x:v>5</x:v>
      </x:c>
      <x:c r="H17" s="21">
        <x:v>0.8</x:v>
      </x:c>
      <x:c r="I17" s="21">
        <x:v>0.8</x:v>
      </x:c>
      <x:c r="J17" s="21">
        <x:v>0.9</x:v>
      </x:c>
      <x:c r="K17" s="21">
        <x:f t="shared" si="0"/>
        <x:v>0.82499999999999996</x:v>
      </x:c>
      <x:c r="L17" s="19" t="s">
        <x:v>667</x:v>
      </x:c>
      <x:c r="M17" s="19" t="s">
        <x:v>668</x:v>
      </x:c>
      <x:c r="N17" s="22">
        <x:v>46223.01791466435</x:v>
      </x:c>
    </x:row>
    <x:row r="18" ht="38.04999923706055" customHeight="1">
      <x:c r="A18" s="5" t="s">
        <x:v>561</x:v>
      </x:c>
      <x:c r="B18" s="5" t="s">
        <x:v>669</x:v>
      </x:c>
      <x:c r="C18" s="5" t="s">
        <x:v>670</x:v>
      </x:c>
      <x:c r="D18" s="5" t="s">
        <x:v>617</x:v>
      </x:c>
      <x:c r="E18" s="10">
        <x:v>17904</x:v>
      </x:c>
      <x:c r="F18" s="10" t="s">
        <x:v>630</x:v>
      </x:c>
      <x:c r="G18" s="10">
        <x:v>5</x:v>
      </x:c>
      <x:c r="H18" s="8">
        <x:v>0.8</x:v>
      </x:c>
      <x:c r="I18" s="8">
        <x:v>0.72</x:v>
      </x:c>
      <x:c r="J18" s="8">
        <x:v>0.85</x:v>
      </x:c>
      <x:c r="K18" s="8">
        <x:f t="shared" si="0"/>
        <x:v>0.78500000000000003</x:v>
      </x:c>
      <x:c r="L18" s="5" t="s">
        <x:v>671</x:v>
      </x:c>
      <x:c r="M18" s="5" t="s">
        <x:v>672</x:v>
      </x:c>
      <x:c r="N18" s="12">
        <x:v>46223.01791466435</x:v>
      </x:c>
    </x:row>
    <x:row r="19" ht="38.04999923706055" customHeight="1">
      <x:c r="A19" s="19" t="s">
        <x:v>561</x:v>
      </x:c>
      <x:c r="B19" s="19" t="s">
        <x:v>673</x:v>
      </x:c>
      <x:c r="C19" s="19" t="s">
        <x:v>674</x:v>
      </x:c>
      <x:c r="D19" s="19" t="s">
        <x:v>617</x:v>
      </x:c>
      <x:c r="E19" s="20">
        <x:v>15765</x:v>
      </x:c>
      <x:c r="F19" s="20" t="s">
        <x:v>618</x:v>
      </x:c>
      <x:c r="G19" s="20">
        <x:v>5</x:v>
      </x:c>
      <x:c r="H19" s="21">
        <x:v>0.6</x:v>
      </x:c>
      <x:c r="I19" s="21">
        <x:v>0.6</x:v>
      </x:c>
      <x:c r="J19" s="21">
        <x:v>0</x:v>
      </x:c>
      <x:c r="K19" s="21">
        <x:f t="shared" si="0"/>
        <x:v>0.45</x:v>
      </x:c>
      <x:c r="L19" s="19" t="s">
        <x:v>675</x:v>
      </x:c>
      <x:c r="M19" s="19" t="s">
        <x:v>676</x:v>
      </x:c>
      <x:c r="N19" s="22">
        <x:v>46223.017916273151</x:v>
      </x:c>
    </x:row>
    <x:row r="20" ht="38.04999923706055" customHeight="1">
      <x:c r="A20" s="5" t="s">
        <x:v>570</x:v>
      </x:c>
      <x:c r="B20" s="5" t="s">
        <x:v>677</x:v>
      </x:c>
      <x:c r="C20" s="5" t="s">
        <x:v>678</x:v>
      </x:c>
      <x:c r="D20" s="5" t="s">
        <x:v>617</x:v>
      </x:c>
      <x:c r="E20" s="10">
        <x:v>83648</x:v>
      </x:c>
      <x:c r="F20" s="10" t="s">
        <x:v>618</x:v>
      </x:c>
      <x:c r="G20" s="10">
        <x:v>13</x:v>
      </x:c>
      <x:c r="H20" s="8">
        <x:v>0.95</x:v>
      </x:c>
      <x:c r="I20" s="8">
        <x:v>0.9</x:v>
      </x:c>
      <x:c r="J20" s="8">
        <x:v>1</x:v>
      </x:c>
      <x:c r="K20" s="8">
        <x:f t="shared" si="0"/>
        <x:v>0.94499999999999995</x:v>
      </x:c>
      <x:c r="L20" s="5" t="s">
        <x:v>679</x:v>
      </x:c>
      <x:c r="M20" s="5" t="s">
        <x:v>680</x:v>
      </x:c>
      <x:c r="N20" s="12">
        <x:v>46223.023650324074</x:v>
      </x:c>
    </x:row>
    <x:row r="21" ht="38.04999923706055" customHeight="1">
      <x:c r="A21" s="19" t="s">
        <x:v>570</x:v>
      </x:c>
      <x:c r="B21" s="19" t="s">
        <x:v>681</x:v>
      </x:c>
      <x:c r="C21" s="19" t="s">
        <x:v>682</x:v>
      </x:c>
      <x:c r="D21" s="19" t="s">
        <x:v>617</x:v>
      </x:c>
      <x:c r="E21" s="20">
        <x:v>288</x:v>
      </x:c>
      <x:c r="F21" s="20" t="s">
        <x:v>618</x:v>
      </x:c>
      <x:c r="G21" s="20">
        <x:v>8</x:v>
      </x:c>
      <x:c r="H21" s="21">
        <x:v>1</x:v>
      </x:c>
      <x:c r="I21" s="21">
        <x:v>1</x:v>
      </x:c>
      <x:c r="J21" s="21">
        <x:v>1</x:v>
      </x:c>
      <x:c r="K21" s="21">
        <x:f t="shared" si="0"/>
        <x:v>1</x:v>
      </x:c>
      <x:c r="L21" s="19" t="s">
        <x:v>683</x:v>
      </x:c>
      <x:c r="M21" s="19" t="s">
        <x:v>684</x:v>
      </x:c>
      <x:c r="N21" s="22">
        <x:v>46223.023651145835</x:v>
      </x:c>
    </x:row>
    <x:row r="22" ht="38.04999923706055" customHeight="1">
      <x:c r="A22" s="5" t="s">
        <x:v>570</x:v>
      </x:c>
      <x:c r="B22" s="5" t="s">
        <x:v>685</x:v>
      </x:c>
      <x:c r="C22" s="5" t="s">
        <x:v>686</x:v>
      </x:c>
      <x:c r="D22" s="5" t="s">
        <x:v>617</x:v>
      </x:c>
      <x:c r="E22" s="10">
        <x:v>910</x:v>
      </x:c>
      <x:c r="F22" s="10" t="s">
        <x:v>618</x:v>
      </x:c>
      <x:c r="G22" s="10">
        <x:v>11</x:v>
      </x:c>
      <x:c r="H22" s="8">
        <x:v>1</x:v>
      </x:c>
      <x:c r="I22" s="8">
        <x:v>1</x:v>
      </x:c>
      <x:c r="J22" s="8">
        <x:v>1</x:v>
      </x:c>
      <x:c r="K22" s="8">
        <x:f t="shared" si="0"/>
        <x:v>1</x:v>
      </x:c>
      <x:c r="L22" s="5" t="s">
        <x:v>687</x:v>
      </x:c>
      <x:c r="M22" s="5" t="s">
        <x:v>688</x:v>
      </x:c>
      <x:c r="N22" s="12">
        <x:v>46223.023651493058</x:v>
      </x:c>
    </x:row>
    <x:row r="23" ht="38.04999923706055" customHeight="1">
      <x:c r="A23" s="19" t="s">
        <x:v>570</x:v>
      </x:c>
      <x:c r="B23" s="19" t="s">
        <x:v>689</x:v>
      </x:c>
      <x:c r="C23" s="19" t="s">
        <x:v>690</x:v>
      </x:c>
      <x:c r="D23" s="19" t="s">
        <x:v>617</x:v>
      </x:c>
      <x:c r="E23" s="20">
        <x:v>1119</x:v>
      </x:c>
      <x:c r="F23" s="20" t="s">
        <x:v>618</x:v>
      </x:c>
      <x:c r="G23" s="20">
        <x:v>14</x:v>
      </x:c>
      <x:c r="H23" s="21">
        <x:v>0.95</x:v>
      </x:c>
      <x:c r="I23" s="21">
        <x:v>0.9</x:v>
      </x:c>
      <x:c r="J23" s="21">
        <x:v>0.95</x:v>
      </x:c>
      <x:c r="K23" s="21">
        <x:f t="shared" si="0"/>
        <x:v>0.93300000000000005</x:v>
      </x:c>
      <x:c r="L23" s="19" t="s">
        <x:v>691</x:v>
      </x:c>
      <x:c r="M23" s="19" t="s">
        <x:v>692</x:v>
      </x:c>
      <x:c r="N23" s="22">
        <x:v>46223.023652222226</x:v>
      </x:c>
    </x:row>
    <x:row r="24" ht="38.04999923706055" customHeight="1">
      <x:c r="A24" s="5" t="s">
        <x:v>570</x:v>
      </x:c>
      <x:c r="B24" s="5" t="s">
        <x:v>581</x:v>
      </x:c>
      <x:c r="C24" s="5" t="s">
        <x:v>693</x:v>
      </x:c>
      <x:c r="D24" s="5" t="s">
        <x:v>617</x:v>
      </x:c>
      <x:c r="E24" s="10">
        <x:v>56328</x:v>
      </x:c>
      <x:c r="F24" s="10" t="s">
        <x:v>618</x:v>
      </x:c>
      <x:c r="G24" s="10">
        <x:v>15</x:v>
      </x:c>
      <x:c r="H24" s="8">
        <x:v>0.95</x:v>
      </x:c>
      <x:c r="I24" s="8">
        <x:v>0.92</x:v>
      </x:c>
      <x:c r="J24" s="8">
        <x:v>1</x:v>
      </x:c>
      <x:c r="K24" s="8">
        <x:f t="shared" si="0"/>
        <x:v>0.95199999999999996</x:v>
      </x:c>
      <x:c r="L24" s="5" t="s">
        <x:v>694</x:v>
      </x:c>
      <x:c r="M24" s="5" t="s">
        <x:v>695</x:v>
      </x:c>
      <x:c r="N24" s="12">
        <x:v>46223.023652581018</x:v>
      </x:c>
    </x:row>
    <x:row r="25" ht="38.04999923706055" customHeight="1">
      <x:c r="A25" s="19" t="s">
        <x:v>579</x:v>
      </x:c>
      <x:c r="B25" s="19" t="s">
        <x:v>696</x:v>
      </x:c>
      <x:c r="C25" s="19" t="s">
        <x:v>697</x:v>
      </x:c>
      <x:c r="D25" s="19" t="s">
        <x:v>617</x:v>
      </x:c>
      <x:c r="E25" s="20">
        <x:v>46326</x:v>
      </x:c>
      <x:c r="F25" s="20" t="s">
        <x:v>618</x:v>
      </x:c>
      <x:c r="G25" s="20">
        <x:v>20</x:v>
      </x:c>
      <x:c r="H25" s="21">
        <x:v>0.95</x:v>
      </x:c>
      <x:c r="I25" s="21">
        <x:v>0.9</x:v>
      </x:c>
      <x:c r="J25" s="21">
        <x:v>1</x:v>
      </x:c>
      <x:c r="K25" s="21">
        <x:f t="shared" si="0"/>
        <x:v>0.94499999999999995</x:v>
      </x:c>
      <x:c r="L25" s="19" t="s">
        <x:v>698</x:v>
      </x:c>
      <x:c r="M25" s="19" t="s">
        <x:v>699</x:v>
      </x:c>
      <x:c r="N25" s="22">
        <x:v>46223.023654710647</x:v>
      </x:c>
    </x:row>
    <x:row r="26" ht="38.04999923706055" customHeight="1">
      <x:c r="A26" s="5" t="s">
        <x:v>579</x:v>
      </x:c>
      <x:c r="B26" s="5" t="s">
        <x:v>700</x:v>
      </x:c>
      <x:c r="C26" s="5" t="s">
        <x:v>701</x:v>
      </x:c>
      <x:c r="D26" s="5" t="s">
        <x:v>617</x:v>
      </x:c>
      <x:c r="E26" s="10">
        <x:v>13882</x:v>
      </x:c>
      <x:c r="F26" s="10" t="s">
        <x:v>618</x:v>
      </x:c>
      <x:c r="G26" s="10">
        <x:v>10</x:v>
      </x:c>
      <x:c r="H26" s="8">
        <x:v>1</x:v>
      </x:c>
      <x:c r="I26" s="8">
        <x:v>0.95</x:v>
      </x:c>
      <x:c r="J26" s="8">
        <x:v>1</x:v>
      </x:c>
      <x:c r="K26" s="8">
        <x:f t="shared" si="0"/>
        <x:v>0.98299999999999998</x:v>
      </x:c>
      <x:c r="L26" s="5" t="s">
        <x:v>702</x:v>
      </x:c>
      <x:c r="M26" s="5" t="s">
        <x:v>703</x:v>
      </x:c>
      <x:c r="N26" s="12">
        <x:v>46223.023655231482</x:v>
      </x:c>
    </x:row>
    <x:row r="27" ht="38.04999923706055" customHeight="1">
      <x:c r="A27" s="19" t="s">
        <x:v>579</x:v>
      </x:c>
      <x:c r="B27" s="19" t="s">
        <x:v>704</x:v>
      </x:c>
      <x:c r="C27" s="19" t="s">
        <x:v>705</x:v>
      </x:c>
      <x:c r="D27" s="19" t="s">
        <x:v>617</x:v>
      </x:c>
      <x:c r="E27" s="20">
        <x:v>1512</x:v>
      </x:c>
      <x:c r="F27" s="20" t="s">
        <x:v>618</x:v>
      </x:c>
      <x:c r="G27" s="20">
        <x:v>10</x:v>
      </x:c>
      <x:c r="H27" s="21">
        <x:v>1</x:v>
      </x:c>
      <x:c r="I27" s="21">
        <x:v>0.95</x:v>
      </x:c>
      <x:c r="J27" s="21">
        <x:v>1</x:v>
      </x:c>
      <x:c r="K27" s="21">
        <x:f t="shared" si="0"/>
        <x:v>0.98299999999999998</x:v>
      </x:c>
      <x:c r="L27" s="19" t="s">
        <x:v>706</x:v>
      </x:c>
      <x:c r="M27" s="19" t="s">
        <x:v>707</x:v>
      </x:c>
      <x:c r="N27" s="22">
        <x:v>46223.023655694444</x:v>
      </x:c>
    </x:row>
    <x:row r="28" ht="38.04999923706055" customHeight="1">
      <x:c r="A28" s="6" t="s">
        <x:v>588</x:v>
      </x:c>
      <x:c r="B28" s="6" t="s">
        <x:v>708</x:v>
      </x:c>
      <x:c r="C28" s="6" t="s">
        <x:v>709</x:v>
      </x:c>
      <x:c r="D28" s="6" t="s">
        <x:v>617</x:v>
      </x:c>
      <x:c r="E28" s="11">
        <x:v>0</x:v>
      </x:c>
      <x:c r="F28" s="11" t="s">
        <x:v>710</x:v>
      </x:c>
      <x:c r="G28" s="11">
        <x:v>4</x:v>
      </x:c>
      <x:c r="H28" s="9">
        <x:v>1</x:v>
      </x:c>
      <x:c r="I28" s="9">
        <x:v>1</x:v>
      </x:c>
      <x:c r="J28" s="9">
        <x:v>1</x:v>
      </x:c>
      <x:c r="K28" s="9">
        <x:f t="shared" si="0"/>
        <x:v>1</x:v>
      </x:c>
      <x:c r="L28" s="6" t="s">
        <x:v>711</x:v>
      </x:c>
      <x:c r="M28" s="6" t="s">
        <x:v>712</x:v>
      </x:c>
      <x:c r="N28" s="13">
        <x:v>46223.080323055554</x:v>
      </x:c>
    </x:row>
  </x:sheetData>
  <x:mergeCells>
    <x:mergeCell ref="A1:N1"/>
    <x:mergeCell ref="A2:N2"/>
  </x:mergeCells>
  <x:conditionalFormatting sqref="H5:K28">
    <x:cfRule type="cellIs" dxfId="11" priority="1" operator="lessThan">
      <x:formula>0.7</x:formula>
    </x:cfRule>
    <x:cfRule type="cellIs" dxfId="10" priority="2" operator="between">
      <x:formula>0.7</x:formula>
      <x:formula>0.8499</x:formula>
    </x:cfRule>
    <x:cfRule type="cellIs" dxfId="9" priority="3" operator="greaterThanOrEqual">
      <x:formula>0.85</x:formula>
    </x:cfRule>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3.800000190734863"/>
  <x:cols>
    <x:col min="1" max="2" width="23" customWidth="1"/>
    <x:col min="3" max="4" width="34" customWidth="1"/>
    <x:col min="5" max="6" width="23" customWidth="1"/>
    <x:col min="7" max="7" width="48" customWidth="1"/>
  </x:cols>
  <x:sheetData>
    <x:row r="1" ht="34" customHeight="1">
      <x:c r="A1" s="24" t="s">
        <x:v>713</x:v>
      </x:c>
      <x:c r="B1" s="24"/>
      <x:c r="C1" s="24"/>
      <x:c r="D1" s="24"/>
      <x:c r="E1" s="24"/>
      <x:c r="F1" s="24"/>
      <x:c r="G1" s="24"/>
    </x:row>
    <x:row r="2" ht="32.04999923706055" customHeight="1">
      <x:c r="A2" s="25" t="s">
        <x:v>714</x:v>
      </x:c>
      <x:c r="B2" s="25"/>
      <x:c r="C2" s="25"/>
      <x:c r="D2" s="25"/>
      <x:c r="E2" s="25"/>
      <x:c r="F2" s="25"/>
      <x:c r="G2" s="25"/>
    </x:row>
    <x:row r="4" ht="34" customHeight="1">
      <x:c r="A4" s="1" t="s">
        <x:v>715</x:v>
      </x:c>
      <x:c r="B4" s="2" t="s">
        <x:v>716</x:v>
      </x:c>
      <x:c r="C4" s="2" t="s">
        <x:v>717</x:v>
      </x:c>
      <x:c r="D4" s="2" t="s">
        <x:v>718</x:v>
      </x:c>
      <x:c r="E4" s="2" t="s">
        <x:v>719</x:v>
      </x:c>
      <x:c r="F4" s="2" t="s">
        <x:v>528</x:v>
      </x:c>
      <x:c r="G4" s="3" t="s">
        <x:v>720</x:v>
      </x:c>
    </x:row>
    <x:row r="5" ht="50.04999923706055" customHeight="1">
      <x:c r="A5" s="15" t="s">
        <x:v>721</x:v>
      </x:c>
      <x:c r="B5" s="15" t="s">
        <x:v>722</x:v>
      </x:c>
      <x:c r="C5" s="15" t="s">
        <x:v>723</x:v>
      </x:c>
      <x:c r="D5" s="15" t="s">
        <x:v>724</x:v>
      </x:c>
      <x:c r="E5" s="15" t="s">
        <x:v>725</x:v>
      </x:c>
      <x:c r="F5" s="15" t="s">
        <x:v>11</x:v>
      </x:c>
      <x:c r="G5" s="15" t="s">
        <x:v>726</x:v>
      </x:c>
    </x:row>
    <x:row r="6" ht="50.04999923706055" customHeight="1">
      <x:c r="A6" s="5" t="s">
        <x:v>727</x:v>
      </x:c>
      <x:c r="B6" s="5" t="s">
        <x:v>728</x:v>
      </x:c>
      <x:c r="C6" s="5" t="s">
        <x:v>729</x:v>
      </x:c>
      <x:c r="D6" s="5" t="s">
        <x:v>730</x:v>
      </x:c>
      <x:c r="E6" s="5" t="s">
        <x:v>725</x:v>
      </x:c>
      <x:c r="F6" s="5" t="s">
        <x:v>11</x:v>
      </x:c>
      <x:c r="G6" s="5" t="s">
        <x:v>731</x:v>
      </x:c>
    </x:row>
    <x:row r="7" ht="50.04999923706055" customHeight="1">
      <x:c r="A7" s="19" t="s">
        <x:v>732</x:v>
      </x:c>
      <x:c r="B7" s="19" t="s">
        <x:v>570</x:v>
      </x:c>
      <x:c r="C7" s="19" t="s">
        <x:v>733</x:v>
      </x:c>
      <x:c r="D7" s="19" t="s">
        <x:v>734</x:v>
      </x:c>
      <x:c r="E7" s="19" t="s">
        <x:v>735</x:v>
      </x:c>
      <x:c r="F7" s="19" t="s">
        <x:v>11</x:v>
      </x:c>
      <x:c r="G7" s="19" t="s">
        <x:v>736</x:v>
      </x:c>
    </x:row>
    <x:row r="8" ht="50.04999923706055" customHeight="1">
      <x:c r="A8" s="5" t="s">
        <x:v>737</x:v>
      </x:c>
      <x:c r="B8" s="5" t="s">
        <x:v>570</x:v>
      </x:c>
      <x:c r="C8" s="5" t="s">
        <x:v>738</x:v>
      </x:c>
      <x:c r="D8" s="5" t="s">
        <x:v>739</x:v>
      </x:c>
      <x:c r="E8" s="5" t="s">
        <x:v>725</x:v>
      </x:c>
      <x:c r="F8" s="5" t="s">
        <x:v>740</x:v>
      </x:c>
      <x:c r="G8" s="5" t="s">
        <x:v>741</x:v>
      </x:c>
    </x:row>
    <x:row r="9" ht="50.04999923706055" customHeight="1">
      <x:c r="A9" s="19" t="s">
        <x:v>742</x:v>
      </x:c>
      <x:c r="B9" s="19" t="s">
        <x:v>570</x:v>
      </x:c>
      <x:c r="C9" s="19" t="s">
        <x:v>743</x:v>
      </x:c>
      <x:c r="D9" s="19" t="s">
        <x:v>744</x:v>
      </x:c>
      <x:c r="E9" s="19" t="s">
        <x:v>725</x:v>
      </x:c>
      <x:c r="F9" s="19" t="s">
        <x:v>11</x:v>
      </x:c>
      <x:c r="G9" s="19" t="s">
        <x:v>745</x:v>
      </x:c>
    </x:row>
    <x:row r="10" ht="50.04999923706055" customHeight="1">
      <x:c r="A10" s="5" t="s">
        <x:v>746</x:v>
      </x:c>
      <x:c r="B10" s="5" t="s">
        <x:v>570</x:v>
      </x:c>
      <x:c r="C10" s="5" t="s">
        <x:v>747</x:v>
      </x:c>
      <x:c r="D10" s="5" t="s">
        <x:v>685</x:v>
      </x:c>
      <x:c r="E10" s="5" t="s">
        <x:v>725</x:v>
      </x:c>
      <x:c r="F10" s="5" t="s">
        <x:v>11</x:v>
      </x:c>
      <x:c r="G10" s="5" t="s">
        <x:v>748</x:v>
      </x:c>
    </x:row>
    <x:row r="11" ht="50.04999923706055" customHeight="1">
      <x:c r="A11" s="19" t="s">
        <x:v>704</x:v>
      </x:c>
      <x:c r="B11" s="19" t="s">
        <x:v>579</x:v>
      </x:c>
      <x:c r="C11" s="19" t="s">
        <x:v>749</x:v>
      </x:c>
      <x:c r="D11" s="19" t="s">
        <x:v>750</x:v>
      </x:c>
      <x:c r="E11" s="19" t="s">
        <x:v>725</x:v>
      </x:c>
      <x:c r="F11" s="19" t="s">
        <x:v>11</x:v>
      </x:c>
      <x:c r="G11" s="19" t="s">
        <x:v>751</x:v>
      </x:c>
    </x:row>
    <x:row r="12" ht="50.04999923706055" customHeight="1">
      <x:c r="A12" s="5" t="s">
        <x:v>752</x:v>
      </x:c>
      <x:c r="B12" s="5" t="s">
        <x:v>588</x:v>
      </x:c>
      <x:c r="C12" s="5" t="s">
        <x:v>753</x:v>
      </x:c>
      <x:c r="D12" s="5" t="s">
        <x:v>754</x:v>
      </x:c>
      <x:c r="E12" s="5" t="s">
        <x:v>755</x:v>
      </x:c>
      <x:c r="F12" s="5" t="s">
        <x:v>11</x:v>
      </x:c>
      <x:c r="G12" s="5" t="s">
        <x:v>756</x:v>
      </x:c>
    </x:row>
    <x:row r="13" ht="50.04999923706055" customHeight="1">
      <x:c r="A13" s="19" t="s">
        <x:v>757</x:v>
      </x:c>
      <x:c r="B13" s="19" t="s">
        <x:v>588</x:v>
      </x:c>
      <x:c r="C13" s="19" t="s">
        <x:v>758</x:v>
      </x:c>
      <x:c r="D13" s="19" t="s">
        <x:v>759</x:v>
      </x:c>
      <x:c r="E13" s="19" t="s">
        <x:v>760</x:v>
      </x:c>
      <x:c r="F13" s="19" t="s">
        <x:v>11</x:v>
      </x:c>
      <x:c r="G13" s="19" t="s">
        <x:v>761</x:v>
      </x:c>
    </x:row>
    <x:row r="14" ht="50.04999923706055" customHeight="1">
      <x:c r="A14" s="5" t="s">
        <x:v>762</x:v>
      </x:c>
      <x:c r="B14" s="5" t="s">
        <x:v>588</x:v>
      </x:c>
      <x:c r="C14" s="5" t="s">
        <x:v>763</x:v>
      </x:c>
      <x:c r="D14" s="5" t="s">
        <x:v>759</x:v>
      </x:c>
      <x:c r="E14" s="5" t="s">
        <x:v>760</x:v>
      </x:c>
      <x:c r="F14" s="5" t="s">
        <x:v>11</x:v>
      </x:c>
      <x:c r="G14" s="5" t="s">
        <x:v>764</x:v>
      </x:c>
    </x:row>
    <x:row r="15" ht="50.04999923706055" customHeight="1">
      <x:c r="A15" s="19" t="s">
        <x:v>765</x:v>
      </x:c>
      <x:c r="B15" s="19" t="s">
        <x:v>588</x:v>
      </x:c>
      <x:c r="C15" s="19" t="s">
        <x:v>766</x:v>
      </x:c>
      <x:c r="D15" s="19" t="s">
        <x:v>767</x:v>
      </x:c>
      <x:c r="E15" s="19" t="s">
        <x:v>768</x:v>
      </x:c>
      <x:c r="F15" s="19" t="s">
        <x:v>11</x:v>
      </x:c>
      <x:c r="G15" s="19" t="s">
        <x:v>769</x:v>
      </x:c>
    </x:row>
    <x:row r="16" ht="50.04999923706055" customHeight="1">
      <x:c r="A16" s="5" t="s">
        <x:v>770</x:v>
      </x:c>
      <x:c r="B16" s="5" t="s">
        <x:v>9</x:v>
      </x:c>
      <x:c r="C16" s="5" t="s">
        <x:v>771</x:v>
      </x:c>
      <x:c r="D16" s="5" t="s">
        <x:v>772</x:v>
      </x:c>
      <x:c r="E16" s="5" t="s">
        <x:v>773</x:v>
      </x:c>
      <x:c r="F16" s="5" t="s">
        <x:v>774</x:v>
      </x:c>
      <x:c r="G16" s="5" t="s">
        <x:v>775</x:v>
      </x:c>
    </x:row>
    <x:row r="17" ht="50.04999923706055" customHeight="1">
      <x:c r="A17" s="23" t="s">
        <x:v>776</x:v>
      </x:c>
      <x:c r="B17" s="23" t="s">
        <x:v>777</x:v>
      </x:c>
      <x:c r="C17" s="23" t="s">
        <x:v>778</x:v>
      </x:c>
      <x:c r="D17" s="23" t="s">
        <x:v>779</x:v>
      </x:c>
      <x:c r="E17" s="23" t="s">
        <x:v>780</x:v>
      </x:c>
      <x:c r="F17" s="23" t="s">
        <x:v>539</x:v>
      </x:c>
      <x:c r="G17" s="23" t="s">
        <x:v>781</x:v>
      </x:c>
    </x:row>
    <x:row r="18">
      <x:c r="A18" s="81" t="str">
        <x:v>Pass 2 recommendation lineage</x:v>
      </x:c>
      <x:c r="B18" s="82" t="str">
        <x:v>Phase 2 → Phase 3</x:v>
      </x:c>
      <x:c r="C18" s="82" t="str">
        <x:v>15 source recommendations disappear</x:v>
      </x:c>
      <x:c r="D18" s="82" t="str">
        <x:v>No complete source-ID disposition contract</x:v>
      </x:c>
      <x:c r="E18" s="82" t="str">
        <x:v>Live production</x:v>
      </x:c>
      <x:c r="F18" s="82" t="str">
        <x:v>FAIL</x:v>
      </x:c>
      <x:c r="G18" s="82" t="str">
        <x:v>Pass 2=15; post-QG criterion recommendations=0.</x:v>
      </x:c>
    </x:row>
    <x:row r="19">
      <x:c r="A19" s="86" t="str">
        <x:v>Certification coverage</x:v>
      </x:c>
      <x:c r="B19" s="87" t="str">
        <x:v>Phase 3 → Phase 4</x:v>
      </x:c>
      <x:c r="C19" s="87" t="str">
        <x:v>Internally valid final state masks upstream loss</x:v>
      </x:c>
      <x:c r="D19" s="87" t="str">
        <x:v>Final cardinality/disposition checks only</x:v>
      </x:c>
      <x:c r="E19" s="87" t="str">
        <x:v>Live production</x:v>
      </x:c>
      <x:c r="F19" s="87" t="str">
        <x:v>GAP</x:v>
      </x:c>
      <x:c r="G19" s="87" t="str">
        <x:v>Certification passes because final statuses are valid.</x:v>
      </x:c>
    </x:row>
    <x:row r="20">
      <x:c r="A20" s="86" t="str">
        <x:v>Progress finality</x:v>
      </x:c>
      <x:c r="B20" s="87" t="str">
        <x:v>Phase 3 → UI</x:v>
      </x:c>
      <x:c r="C20" s="87" t="str">
        <x:v>100% shown before persistence</x:v>
      </x:c>
      <x:c r="D20" s="87" t="str">
        <x:v>Current high-water metric</x:v>
      </x:c>
      <x:c r="E20" s="87" t="str">
        <x:v>Live production</x:v>
      </x:c>
      <x:c r="F20" s="87" t="str">
        <x:v>FAIL</x:v>
      </x:c>
      <x:c r="G20" s="87" t="str">
        <x:v>100% persisted during ~223 seconds of active synthesis.</x:v>
      </x:c>
    </x:row>
    <x:row r="21">
      <x:c r="A21" s="86" t="str">
        <x:v>Held transition proof query</x:v>
      </x:c>
      <x:c r="B21" s="87" t="str">
        <x:v>Proof harness → DB</x:v>
      </x:c>
      <x:c r="C21" s="87" t="str">
        <x:v>Wrong schema key causes live query failure</x:v>
      </x:c>
      <x:c r="D21" s="87" t="str">
        <x:v>Mocks did not model production table key</x:v>
      </x:c>
      <x:c r="E21" s="87" t="str">
        <x:v>Live production</x:v>
      </x:c>
      <x:c r="F21" s="87" t="str">
        <x:v>FAIL</x:v>
      </x:c>
      <x:c r="G21" s="87" t="str">
        <x:v>Must join transition events by held_item_id.</x:v>
      </x:c>
    </x:row>
  </x:sheetData>
  <x:mergeCells>
    <x:mergeCell ref="A1:G1"/>
    <x:mergeCell ref="A2:G2"/>
  </x:mergeCells>
  <x:conditionalFormatting sqref="F5:F17">
    <x:cfRule type="containsText" dxfId="8" priority="1" operator="containsText" text="PASS"/>
    <x:cfRule type="containsText" dxfId="7" priority="2" operator="containsText" text="NEEDS"/>
    <x:cfRule type="containsText" dxfId="6" priority="3" operator="containsText" text="UNPROVEN"/>
  </x:conditionalFormatting>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3.800000190734863"/>
  <x:cols>
    <x:col min="1" max="2" width="28" customWidth="1"/>
    <x:col min="3" max="4" width="50" customWidth="1"/>
  </x:cols>
  <x:sheetData>
    <x:row r="1" ht="34" customHeight="1">
      <x:c r="A1" s="24" t="s">
        <x:v>782</x:v>
      </x:c>
      <x:c r="B1" s="24"/>
      <x:c r="C1" s="24"/>
      <x:c r="D1" s="24"/>
    </x:row>
    <x:row r="2" ht="32.04999923706055" customHeight="1">
      <x:c r="A2" s="25" t="s">
        <x:v>783</x:v>
      </x:c>
      <x:c r="B2" s="25"/>
      <x:c r="C2" s="25"/>
      <x:c r="D2" s="25"/>
    </x:row>
    <x:row r="4" ht="34" customHeight="1">
      <x:c r="A4" s="1" t="s">
        <x:v>784</x:v>
      </x:c>
      <x:c r="B4" s="2" t="s">
        <x:v>785</x:v>
      </x:c>
      <x:c r="C4" s="2" t="s">
        <x:v>278</x:v>
      </x:c>
      <x:c r="D4" s="3" t="s">
        <x:v>19</x:v>
      </x:c>
    </x:row>
    <x:row r="5" ht="44.04999923706055" customHeight="1">
      <x:c r="A5" s="15" t="s">
        <x:v>786</x:v>
      </x:c>
      <x:c r="B5" s="15" t="s">
        <x:v>11</x:v>
      </x:c>
      <x:c r="C5" s="15" t="s">
        <x:v>787</x:v>
      </x:c>
      <x:c r="D5" s="15" t="s">
        <x:v>788</x:v>
      </x:c>
    </x:row>
    <x:row r="6" ht="44.04999923706055" customHeight="1">
      <x:c r="A6" s="5" t="s">
        <x:v>789</x:v>
      </x:c>
      <x:c r="B6" s="5" t="s">
        <x:v>11</x:v>
      </x:c>
      <x:c r="C6" s="5" t="s">
        <x:v>790</x:v>
      </x:c>
      <x:c r="D6" s="5" t="s">
        <x:v>791</x:v>
      </x:c>
    </x:row>
    <x:row r="7" ht="44.04999923706055" customHeight="1">
      <x:c r="A7" s="19" t="s">
        <x:v>792</x:v>
      </x:c>
      <x:c r="B7" s="19" t="s">
        <x:v>11</x:v>
      </x:c>
      <x:c r="C7" s="19" t="s">
        <x:v>793</x:v>
      </x:c>
      <x:c r="D7" s="19" t="s">
        <x:v>794</x:v>
      </x:c>
    </x:row>
    <x:row r="8" ht="44.04999923706055" customHeight="1">
      <x:c r="A8" s="5" t="s">
        <x:v>795</x:v>
      </x:c>
      <x:c r="B8" s="5" t="s">
        <x:v>11</x:v>
      </x:c>
      <x:c r="C8" s="5" t="s">
        <x:v>796</x:v>
      </x:c>
      <x:c r="D8" s="5" t="s">
        <x:v>797</x:v>
      </x:c>
    </x:row>
    <x:row r="9" ht="44.04999923706055" customHeight="1">
      <x:c r="A9" s="19" t="s">
        <x:v>798</x:v>
      </x:c>
      <x:c r="B9" s="19" t="s">
        <x:v>11</x:v>
      </x:c>
      <x:c r="C9" s="19" t="s">
        <x:v>799</x:v>
      </x:c>
      <x:c r="D9" s="19" t="s">
        <x:v>800</x:v>
      </x:c>
    </x:row>
    <x:row r="10" ht="44.04999923706055" customHeight="1">
      <x:c r="A10" s="5" t="s">
        <x:v>801</x:v>
      </x:c>
      <x:c r="B10" s="5" t="s">
        <x:v>11</x:v>
      </x:c>
      <x:c r="C10" s="5" t="s">
        <x:v>802</x:v>
      </x:c>
      <x:c r="D10" s="5" t="s">
        <x:v>803</x:v>
      </x:c>
    </x:row>
    <x:row r="11" ht="44.04999923706055" customHeight="1">
      <x:c r="A11" s="19" t="s">
        <x:v>804</x:v>
      </x:c>
      <x:c r="B11" s="19" t="s">
        <x:v>805</x:v>
      </x:c>
      <x:c r="C11" s="19" t="s">
        <x:v>806</x:v>
      </x:c>
      <x:c r="D11" s="19" t="s">
        <x:v>807</x:v>
      </x:c>
    </x:row>
    <x:row r="12" ht="44.04999923706055" customHeight="1">
      <x:c r="A12" s="5" t="s">
        <x:v>808</x:v>
      </x:c>
      <x:c r="B12" s="5" t="s">
        <x:v>14</x:v>
      </x:c>
      <x:c r="C12" s="5" t="s">
        <x:v>809</x:v>
      </x:c>
      <x:c r="D12" s="5" t="s">
        <x:v>810</x:v>
      </x:c>
    </x:row>
    <x:row r="13" ht="44.04999923706055" customHeight="1">
      <x:c r="A13" s="19" t="s">
        <x:v>811</x:v>
      </x:c>
      <x:c r="B13" s="19" t="s">
        <x:v>14</x:v>
      </x:c>
      <x:c r="C13" s="19" t="s">
        <x:v>812</x:v>
      </x:c>
      <x:c r="D13" s="19" t="s">
        <x:v>813</x:v>
      </x:c>
    </x:row>
    <x:row r="14" ht="44.04999923706055" customHeight="1">
      <x:c r="A14" s="6" t="s">
        <x:v>814</x:v>
      </x:c>
      <x:c r="B14" s="6" t="s">
        <x:v>11</x:v>
      </x:c>
      <x:c r="C14" s="6" t="s">
        <x:v>815</x:v>
      </x:c>
      <x:c r="D14" s="6" t="s">
        <x:v>816</x:v>
      </x:c>
    </x:row>
    <x:row r="15">
      <x:c r="A15" s="81" t="str">
        <x:v>Fresh Diamonds evaluation</x:v>
      </x:c>
      <x:c r="B15" s="82" t="str">
        <x:v>PASS</x:v>
      </x:c>
      <x:c r="C15" s="82" t="str">
        <x:v>Job 7c3f47a6…; manuscript 7783</x:v>
      </x:c>
      <x:c r="D15" s="82" t="str">
        <x:v>Completed with 23 artifacts and no pipeline failure.</x:v>
      </x:c>
    </x:row>
    <x:row r="16">
      <x:c r="A16" s="86" t="str">
        <x:v>Recommendation lineage</x:v>
      </x:c>
      <x:c r="B16" s="87" t="str">
        <x:v>FAIL</x:v>
      </x:c>
      <x:c r="C16" s="87" t="str">
        <x:v>Pass 2: 15 → final criteria: 0</x:v>
      </x:c>
      <x:c r="D16" s="87" t="str">
        <x:v>Cross-pass source recommendation dispositions are missing.</x:v>
      </x:c>
    </x:row>
    <x:row r="17">
      <x:c r="A17" s="86" t="str">
        <x:v>Canonical Revise ledger</x:v>
      </x:c>
      <x:c r="B17" s="87" t="str">
        <x:v>HARD FAIL</x:v>
      </x:c>
      <x:c r="C17" s="87" t="str">
        <x:v>Ledger 755bc51e…; opportunities: []</x:v>
      </x:c>
      <x:c r="D17" s="87" t="str">
        <x:v>Same source manuscript historically produced 15 opportunities.</x:v>
      </x:c>
    </x:row>
    <x:row r="18">
      <x:c r="A18" s="86" t="str">
        <x:v>Held Recovery execution</x:v>
      </x:c>
      <x:c r="B18" s="87" t="str">
        <x:v>UNPROVEN</x:v>
      </x:c>
      <x:c r="C18" s="87" t="str">
        <x:v>0 queue/attempt/work/anchor/transition rows</x:v>
      </x:c>
      <x:c r="D18" s="87" t="str">
        <x:v>No recoverable opportunity was admitted; separate deterministic trigger remains required.</x:v>
      </x:c>
    </x:row>
  </x:sheetData>
  <x:mergeCells>
    <x:mergeCell ref="A1:D1"/>
    <x:mergeCell ref="A2:D2"/>
  </x:mergeCells>
  <x:conditionalFormatting sqref="B5:B14">
    <x:cfRule type="containsText" dxfId="5" priority="1" operator="containsText" text="PASS"/>
    <x:cfRule type="containsText" dxfId="4" priority="2" operator="containsText" text="NEEDS"/>
    <x:cfRule type="containsText" dxfId="3" priority="3" operator="containsText" text="UNPROVEN"/>
  </x:conditionalFormatting>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3.800000190734863"/>
  <x:cols>
    <x:col min="1" max="2" width="20" customWidth="1"/>
    <x:col min="3" max="7" width="40" customWidth="1"/>
    <x:col min="8" max="9" width="20" customWidth="1"/>
  </x:cols>
  <x:sheetData>
    <x:row r="1" ht="34" customHeight="1">
      <x:c r="A1" s="24" t="s">
        <x:v>817</x:v>
      </x:c>
      <x:c r="B1" s="24"/>
      <x:c r="C1" s="24"/>
      <x:c r="D1" s="24"/>
      <x:c r="E1" s="24"/>
      <x:c r="F1" s="24"/>
      <x:c r="G1" s="24"/>
      <x:c r="H1" s="24"/>
      <x:c r="I1" s="24"/>
    </x:row>
    <x:row r="2" ht="32.04999923706055" customHeight="1">
      <x:c r="A2" s="25" t="s">
        <x:v>818</x:v>
      </x:c>
      <x:c r="B2" s="25"/>
      <x:c r="C2" s="25"/>
      <x:c r="D2" s="25"/>
      <x:c r="E2" s="25"/>
      <x:c r="F2" s="25"/>
      <x:c r="G2" s="25"/>
      <x:c r="H2" s="25"/>
      <x:c r="I2" s="25"/>
    </x:row>
    <x:row r="4" ht="34" customHeight="1">
      <x:c r="A4" s="1" t="s">
        <x:v>102</x:v>
      </x:c>
      <x:c r="B4" s="2" t="s">
        <x:v>819</x:v>
      </x:c>
      <x:c r="C4" s="2" t="s">
        <x:v>103</x:v>
      </x:c>
      <x:c r="D4" s="2" t="s">
        <x:v>820</x:v>
      </x:c>
      <x:c r="E4" s="2" t="s">
        <x:v>821</x:v>
      </x:c>
      <x:c r="F4" s="2" t="s">
        <x:v>822</x:v>
      </x:c>
      <x:c r="G4" s="2" t="s">
        <x:v>823</x:v>
      </x:c>
      <x:c r="H4" s="2" t="s">
        <x:v>824</x:v>
      </x:c>
      <x:c r="I4" s="3" t="s">
        <x:v>785</x:v>
      </x:c>
    </x:row>
    <x:row r="5" ht="64" customHeight="1">
      <x:c r="A5" s="15" t="s">
        <x:v>825</x:v>
      </x:c>
      <x:c r="B5" s="15" t="s">
        <x:v>826</x:v>
      </x:c>
      <x:c r="C5" s="15" t="s">
        <x:v>827</x:v>
      </x:c>
      <x:c r="D5" s="15" t="s">
        <x:v>828</x:v>
      </x:c>
      <x:c r="E5" s="15" t="s">
        <x:v>829</x:v>
      </x:c>
      <x:c r="F5" s="15" t="s">
        <x:v>830</x:v>
      </x:c>
      <x:c r="G5" s="15" t="s">
        <x:v>831</x:v>
      </x:c>
      <x:c r="H5" s="15" t="s">
        <x:v>832</x:v>
      </x:c>
      <x:c r="I5" s="15" t="s">
        <x:v>833</x:v>
      </x:c>
    </x:row>
    <x:row r="6" ht="64" customHeight="1">
      <x:c r="A6" s="5" t="s">
        <x:v>825</x:v>
      </x:c>
      <x:c r="B6" s="5" t="s">
        <x:v>526</x:v>
      </x:c>
      <x:c r="C6" s="5" t="s">
        <x:v>834</x:v>
      </x:c>
      <x:c r="D6" s="5" t="s">
        <x:v>835</x:v>
      </x:c>
      <x:c r="E6" s="5" t="s">
        <x:v>836</x:v>
      </x:c>
      <x:c r="F6" s="5" t="s">
        <x:v>837</x:v>
      </x:c>
      <x:c r="G6" s="5" t="s">
        <x:v>838</x:v>
      </x:c>
      <x:c r="H6" s="5" t="s">
        <x:v>832</x:v>
      </x:c>
      <x:c r="I6" s="5" t="s">
        <x:v>833</x:v>
      </x:c>
    </x:row>
    <x:row r="7" ht="64" customHeight="1">
      <x:c r="A7" s="19" t="s">
        <x:v>825</x:v>
      </x:c>
      <x:c r="B7" s="19" t="s">
        <x:v>526</x:v>
      </x:c>
      <x:c r="C7" s="19" t="s">
        <x:v>105</x:v>
      </x:c>
      <x:c r="D7" s="19" t="s">
        <x:v>839</x:v>
      </x:c>
      <x:c r="E7" s="19" t="s">
        <x:v>840</x:v>
      </x:c>
      <x:c r="F7" s="19" t="s">
        <x:v>841</x:v>
      </x:c>
      <x:c r="G7" s="19" t="s">
        <x:v>842</x:v>
      </x:c>
      <x:c r="H7" s="19" t="s">
        <x:v>832</x:v>
      </x:c>
      <x:c r="I7" s="19" t="s">
        <x:v>833</x:v>
      </x:c>
    </x:row>
    <x:row r="8" ht="64" customHeight="1">
      <x:c r="A8" s="5" t="s">
        <x:v>825</x:v>
      </x:c>
      <x:c r="B8" s="5" t="s">
        <x:v>843</x:v>
      </x:c>
      <x:c r="C8" s="5" t="s">
        <x:v>844</x:v>
      </x:c>
      <x:c r="D8" s="5" t="s">
        <x:v>845</x:v>
      </x:c>
      <x:c r="E8" s="5" t="s">
        <x:v>846</x:v>
      </x:c>
      <x:c r="F8" s="5" t="s">
        <x:v>847</x:v>
      </x:c>
      <x:c r="G8" s="5" t="s">
        <x:v>848</x:v>
      </x:c>
      <x:c r="H8" s="5" t="s">
        <x:v>832</x:v>
      </x:c>
      <x:c r="I8" s="5" t="s">
        <x:v>849</x:v>
      </x:c>
    </x:row>
    <x:row r="9" ht="64" customHeight="1">
      <x:c r="A9" s="19" t="s">
        <x:v>850</x:v>
      </x:c>
      <x:c r="B9" s="19" t="s">
        <x:v>851</x:v>
      </x:c>
      <x:c r="C9" s="19" t="s">
        <x:v>568</x:v>
      </x:c>
      <x:c r="D9" s="19" t="s">
        <x:v>852</x:v>
      </x:c>
      <x:c r="E9" s="19" t="s">
        <x:v>853</x:v>
      </x:c>
      <x:c r="F9" s="19" t="s">
        <x:v>854</x:v>
      </x:c>
      <x:c r="G9" s="19" t="s">
        <x:v>855</x:v>
      </x:c>
      <x:c r="H9" s="19" t="s">
        <x:v>856</x:v>
      </x:c>
      <x:c r="I9" s="19" t="s">
        <x:v>833</x:v>
      </x:c>
    </x:row>
    <x:row r="10" ht="64" customHeight="1">
      <x:c r="A10" s="5" t="s">
        <x:v>850</x:v>
      </x:c>
      <x:c r="B10" s="5" t="s">
        <x:v>857</x:v>
      </x:c>
      <x:c r="C10" s="5" t="s">
        <x:v>858</x:v>
      </x:c>
      <x:c r="D10" s="5" t="s">
        <x:v>859</x:v>
      </x:c>
      <x:c r="E10" s="5" t="s">
        <x:v>860</x:v>
      </x:c>
      <x:c r="F10" s="5" t="s">
        <x:v>861</x:v>
      </x:c>
      <x:c r="G10" s="5" t="s">
        <x:v>862</x:v>
      </x:c>
      <x:c r="H10" s="5" t="s">
        <x:v>832</x:v>
      </x:c>
      <x:c r="I10" s="5" t="s">
        <x:v>833</x:v>
      </x:c>
    </x:row>
    <x:row r="11" ht="64" customHeight="1">
      <x:c r="A11" s="19" t="s">
        <x:v>850</x:v>
      </x:c>
      <x:c r="B11" s="19" t="s">
        <x:v>863</x:v>
      </x:c>
      <x:c r="C11" s="19" t="s">
        <x:v>864</x:v>
      </x:c>
      <x:c r="D11" s="19" t="s">
        <x:v>865</x:v>
      </x:c>
      <x:c r="E11" s="19" t="s">
        <x:v>866</x:v>
      </x:c>
      <x:c r="F11" s="19" t="s">
        <x:v>867</x:v>
      </x:c>
      <x:c r="G11" s="19" t="s">
        <x:v>868</x:v>
      </x:c>
      <x:c r="H11" s="19" t="s">
        <x:v>856</x:v>
      </x:c>
      <x:c r="I11" s="19" t="s">
        <x:v>833</x:v>
      </x:c>
    </x:row>
    <x:row r="12" ht="64" customHeight="1">
      <x:c r="A12" s="5" t="s">
        <x:v>869</x:v>
      </x:c>
      <x:c r="B12" s="5" t="s">
        <x:v>299</x:v>
      </x:c>
      <x:c r="C12" s="5" t="s">
        <x:v>870</x:v>
      </x:c>
      <x:c r="D12" s="5" t="s">
        <x:v>871</x:v>
      </x:c>
      <x:c r="E12" s="5" t="s">
        <x:v>872</x:v>
      </x:c>
      <x:c r="F12" s="5" t="s">
        <x:v>873</x:v>
      </x:c>
      <x:c r="G12" s="5" t="s">
        <x:v>874</x:v>
      </x:c>
      <x:c r="H12" s="5" t="s">
        <x:v>856</x:v>
      </x:c>
      <x:c r="I12" s="5" t="s">
        <x:v>833</x:v>
      </x:c>
    </x:row>
    <x:row r="13" ht="64" customHeight="1">
      <x:c r="A13" s="19" t="s">
        <x:v>869</x:v>
      </x:c>
      <x:c r="B13" s="19" t="s">
        <x:v>875</x:v>
      </x:c>
      <x:c r="C13" s="19" t="s">
        <x:v>876</x:v>
      </x:c>
      <x:c r="D13" s="19" t="s">
        <x:v>877</x:v>
      </x:c>
      <x:c r="E13" s="19" t="s">
        <x:v>878</x:v>
      </x:c>
      <x:c r="F13" s="19" t="s">
        <x:v>879</x:v>
      </x:c>
      <x:c r="G13" s="19" t="s">
        <x:v>880</x:v>
      </x:c>
      <x:c r="H13" s="19" t="s">
        <x:v>856</x:v>
      </x:c>
      <x:c r="I13" s="19" t="s">
        <x:v>833</x:v>
      </x:c>
    </x:row>
    <x:row r="14" ht="64" customHeight="1">
      <x:c r="A14" s="6" t="s">
        <x:v>881</x:v>
      </x:c>
      <x:c r="B14" s="6" t="s">
        <x:v>882</x:v>
      </x:c>
      <x:c r="C14" s="6" t="s">
        <x:v>883</x:v>
      </x:c>
      <x:c r="D14" s="6" t="s">
        <x:v>884</x:v>
      </x:c>
      <x:c r="E14" s="6" t="s">
        <x:v>885</x:v>
      </x:c>
      <x:c r="F14" s="6" t="s">
        <x:v>886</x:v>
      </x:c>
      <x:c r="G14" s="6" t="s">
        <x:v>887</x:v>
      </x:c>
      <x:c r="H14" s="6" t="s">
        <x:v>881</x:v>
      </x:c>
      <x:c r="I14" s="6" t="s">
        <x:v>888</x:v>
      </x:c>
    </x:row>
  </x:sheetData>
  <x:mergeCells>
    <x:mergeCell ref="A1:I1"/>
    <x:mergeCell ref="A2:I2"/>
  </x:mergeCells>
  <x:conditionalFormatting sqref="I5:I14">
    <x:cfRule type="containsText" dxfId="2" priority="1" operator="containsText" text="PASS"/>
    <x:cfRule type="containsText" dxfId="1" priority="2" operator="containsText" text="NEEDS"/>
    <x:cfRule type="containsText" dxfId="0" priority="3" operator="containsText" text="UNPROVEN"/>
  </x:conditionalFormatting>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3.800000190734863"/>
  <x:cols>
    <x:col min="1" max="1" width="12" customWidth="1"/>
    <x:col min="2" max="2" width="26" customWidth="1"/>
    <x:col min="3" max="3" width="72" customWidth="1"/>
    <x:col min="4" max="4" width="52" customWidth="1"/>
  </x:cols>
  <x:sheetData>
    <x:row r="1" ht="34" customHeight="1">
      <x:c r="A1" s="24" t="s">
        <x:v>347</x:v>
      </x:c>
      <x:c r="B1" s="24"/>
      <x:c r="C1" s="24"/>
      <x:c r="D1" s="24"/>
    </x:row>
    <x:row r="2" ht="32.04999923706055" customHeight="1">
      <x:c r="A2" s="25" t="s">
        <x:v>889</x:v>
      </x:c>
      <x:c r="B2" s="25"/>
      <x:c r="C2" s="25"/>
      <x:c r="D2" s="25"/>
    </x:row>
    <x:row r="4" ht="34" customHeight="1">
      <x:c r="A4" s="1" t="s">
        <x:v>890</x:v>
      </x:c>
      <x:c r="B4" s="2" t="s">
        <x:v>278</x:v>
      </x:c>
      <x:c r="C4" s="2" t="s">
        <x:v>891</x:v>
      </x:c>
      <x:c r="D4" s="3" t="s">
        <x:v>892</x:v>
      </x:c>
    </x:row>
    <x:row r="5" ht="42" customHeight="1">
      <x:c r="A5" s="15" t="s">
        <x:v>893</x:v>
      </x:c>
      <x:c r="B5" s="15" t="s">
        <x:v>894</x:v>
      </x:c>
      <x:c r="C5" s="15" t="s">
        <x:v>895</x:v>
      </x:c>
      <x:c r="D5" s="15" t="s">
        <x:v>896</x:v>
      </x:c>
    </x:row>
    <x:row r="6" ht="42" customHeight="1">
      <x:c r="A6" s="5" t="s">
        <x:v>897</x:v>
      </x:c>
      <x:c r="B6" s="5" t="s">
        <x:v>898</x:v>
      </x:c>
      <x:c r="C6" s="5" t="s">
        <x:v>787</x:v>
      </x:c>
      <x:c r="D6" s="5" t="s">
        <x:v>899</x:v>
      </x:c>
    </x:row>
    <x:row r="7" ht="42" customHeight="1">
      <x:c r="A7" s="19" t="s">
        <x:v>900</x:v>
      </x:c>
      <x:c r="B7" s="19" t="s">
        <x:v>901</x:v>
      </x:c>
      <x:c r="C7" s="19" t="s">
        <x:v>902</x:v>
      </x:c>
      <x:c r="D7" s="19" t="s">
        <x:v>903</x:v>
      </x:c>
    </x:row>
    <x:row r="8" ht="42" customHeight="1">
      <x:c r="A8" s="5" t="s">
        <x:v>904</x:v>
      </x:c>
      <x:c r="B8" s="5" t="s">
        <x:v>905</x:v>
      </x:c>
      <x:c r="C8" s="5" t="s">
        <x:v>906</x:v>
      </x:c>
      <x:c r="D8" s="5" t="s">
        <x:v>907</x:v>
      </x:c>
    </x:row>
    <x:row r="9" ht="42" customHeight="1">
      <x:c r="A9" s="19" t="s">
        <x:v>908</x:v>
      </x:c>
      <x:c r="B9" s="19" t="s">
        <x:v>909</x:v>
      </x:c>
      <x:c r="C9" s="19" t="s">
        <x:v>910</x:v>
      </x:c>
      <x:c r="D9" s="19" t="s">
        <x:v>911</x:v>
      </x:c>
    </x:row>
    <x:row r="10" ht="42" customHeight="1">
      <x:c r="A10" s="5" t="s">
        <x:v>912</x:v>
      </x:c>
      <x:c r="B10" s="5" t="s">
        <x:v>913</x:v>
      </x:c>
      <x:c r="C10" s="5" t="s">
        <x:v>914</x:v>
      </x:c>
      <x:c r="D10" s="5" t="s">
        <x:v>915</x:v>
      </x:c>
    </x:row>
    <x:row r="11" ht="42" customHeight="1">
      <x:c r="A11" s="19" t="s">
        <x:v>916</x:v>
      </x:c>
      <x:c r="B11" s="19" t="s">
        <x:v>917</x:v>
      </x:c>
      <x:c r="C11" s="19" t="s">
        <x:v>918</x:v>
      </x:c>
      <x:c r="D11" s="19" t="s">
        <x:v>919</x:v>
      </x:c>
    </x:row>
    <x:row r="12" ht="42" customHeight="1">
      <x:c r="A12" s="5" t="s">
        <x:v>920</x:v>
      </x:c>
      <x:c r="B12" s="5" t="s">
        <x:v>921</x:v>
      </x:c>
      <x:c r="C12" s="5" t="s">
        <x:v>922</x:v>
      </x:c>
      <x:c r="D12" s="5" t="s">
        <x:v>923</x:v>
      </x:c>
    </x:row>
    <x:row r="13" ht="42" customHeight="1">
      <x:c r="A13" s="19" t="s">
        <x:v>924</x:v>
      </x:c>
      <x:c r="B13" s="19" t="s">
        <x:v>925</x:v>
      </x:c>
      <x:c r="C13" s="19" t="s">
        <x:v>926</x:v>
      </x:c>
      <x:c r="D13" s="19" t="s">
        <x:v>927</x:v>
      </x:c>
    </x:row>
    <x:row r="14" ht="42" customHeight="1">
      <x:c r="A14" s="5" t="s">
        <x:v>928</x:v>
      </x:c>
      <x:c r="B14" s="5" t="s">
        <x:v>929</x:v>
      </x:c>
      <x:c r="C14" s="5" t="s">
        <x:v>712</x:v>
      </x:c>
      <x:c r="D14" s="5" t="s">
        <x:v>930</x:v>
      </x:c>
    </x:row>
    <x:row r="15" ht="42" customHeight="1">
      <x:c r="A15" s="19" t="s">
        <x:v>931</x:v>
      </x:c>
      <x:c r="B15" s="19" t="s">
        <x:v>932</x:v>
      </x:c>
      <x:c r="C15" s="19" t="s">
        <x:v>933</x:v>
      </x:c>
      <x:c r="D15" s="19" t="s">
        <x:v>934</x:v>
      </x:c>
    </x:row>
    <x:row r="16" ht="42" customHeight="1">
      <x:c r="A16" s="6" t="s">
        <x:v>935</x:v>
      </x:c>
      <x:c r="B16" s="6" t="s">
        <x:v>936</x:v>
      </x:c>
      <x:c r="C16" s="6" t="s">
        <x:v>937</x:v>
      </x:c>
      <x:c r="D16" s="6" t="s">
        <x:v>938</x:v>
      </x:c>
    </x:row>
    <x:row r="17">
      <x:c r="A17" s="81" t="str">
        <x:v>EV-13</x:v>
      </x:c>
      <x:c r="B17" s="82" t="str">
        <x:v>Live evaluation job</x:v>
      </x:c>
      <x:c r="C17" s="82" t="str">
        <x:v>7c3f47a6-bfc2-4025-a7fc-d1ce0456a609</x:v>
      </x:c>
      <x:c r="D17" s="82" t="str">
        <x:v>Fresh controlled Diamonds production run.</x:v>
      </x:c>
    </x:row>
    <x:row r="18">
      <x:c r="A18" s="86" t="str">
        <x:v>EV-14</x:v>
      </x:c>
      <x:c r="B18" s="87" t="str">
        <x:v>Live manuscript</x:v>
      </x:c>
      <x:c r="C18" s="87" t="str">
        <x:v>7783</x:v>
      </x:c>
      <x:c r="D18" s="87" t="str">
        <x:v>DIAMONDS AREN’T FOREVER controlled proof copy.</x:v>
      </x:c>
    </x:row>
    <x:row r="19">
      <x:c r="A19" s="86" t="str">
        <x:v>EV-15</x:v>
      </x:c>
      <x:c r="B19" s="87" t="str">
        <x:v>Live Revise ledger</x:v>
      </x:c>
      <x:c r="C19" s="87" t="str">
        <x:v>755bc51e-6e47-4cd4-b409-045687b9dbd0</x:v>
      </x:c>
      <x:c r="D19" s="87" t="str">
        <x:v>Exactly one canonical ledger; opportunities: [].</x:v>
      </x:c>
    </x:row>
    <x:row r="20">
      <x:c r="A20" s="86" t="str">
        <x:v>EV-16</x:v>
      </x:c>
      <x:c r="B20" s="87" t="str">
        <x:v>Repository evidence</x:v>
      </x:c>
      <x:c r="C20" s="87" t="str">
        <x:v>docs/evidence/2026-07-20-held-recovery-live-proof-handoff.md</x:v>
      </x:c>
      <x:c r="D20" s="87" t="str">
        <x:v>Full operational and root-cause handoff on main.</x:v>
      </x:c>
    </x:row>
    <x:row r="21">
      <x:c r="A21" s="86" t="str">
        <x:v>EV-17</x:v>
      </x:c>
      <x:c r="B21" s="87" t="str">
        <x:v>Production deployment</x:v>
      </x:c>
      <x:c r="C21" s="87" t="str">
        <x:v>dpl_3L32SHJxEg2LJ9W7MSgwswqKkyM9</x:v>
      </x:c>
      <x:c r="D21" s="87" t="str">
        <x:v>Exact-target worker deployment used for the run.</x:v>
      </x:c>
    </x:row>
  </x:sheetData>
  <x:mergeCells>
    <x:mergeCell ref="A1:D1"/>
    <x:mergeCell ref="A2:D2"/>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23" hidden="0" customWidth="1"/>
    <x:col min="2" max="2" width="24" hidden="0" customWidth="1"/>
    <x:col min="3" max="3" width="24" hidden="0" customWidth="1"/>
    <x:col min="4" max="4" width="34" hidden="0" customWidth="1"/>
    <x:col min="5" max="5" width="33" hidden="0" customWidth="1"/>
    <x:col min="6" max="6" width="28" hidden="0" customWidth="1"/>
    <x:col min="7" max="7" width="20" hidden="0" customWidth="1"/>
    <x:col min="8" max="8" width="20" hidden="0" customWidth="1"/>
    <x:col min="9" max="9" width="20" hidden="0" customWidth="1"/>
    <x:col min="10" max="10" width="13" hidden="0" customWidth="1"/>
    <x:col min="11" max="11" width="13" hidden="0" customWidth="1"/>
    <x:col min="12" max="12" width="13" hidden="0" customWidth="1"/>
    <x:col min="13" max="13" width="13" hidden="0" customWidth="1"/>
    <x:col min="14" max="14" width="13" hidden="0" customWidth="1"/>
    <x:col min="15" max="15" width="23" hidden="0" customWidth="1"/>
    <x:col min="16" max="16" width="46" hidden="0" customWidth="1"/>
  </x:cols>
  <x:sheetData>
    <x:row r="1" ht="30" customHeight="1">
      <x:c r="A1" s="116" t="str">
        <x:v>DIAMONDS AREN’T FOREVER — Live Evaluate → Revise Forensics</x:v>
      </x:c>
      <x:c r="B1" s="116"/>
      <x:c r="C1" s="116"/>
      <x:c r="D1" s="116"/>
      <x:c r="E1" s="116"/>
      <x:c r="F1" s="116"/>
      <x:c r="G1" s="116"/>
      <x:c r="H1" s="116"/>
      <x:c r="I1" s="116"/>
      <x:c r="J1" s="116"/>
      <x:c r="K1" s="116"/>
      <x:c r="L1" s="116"/>
      <x:c r="M1" s="116"/>
      <x:c r="N1" s="116"/>
      <x:c r="O1" s="116"/>
      <x:c r="P1" s="116"/>
    </x:row>
    <x:row r="2" ht="34" customHeight="1">
      <x:c r="A2" s="118" t="str">
        <x:v>Job 7c3f47a6-bfc2-4025-a7fc-d1ce0456a609 · manuscript 7783 · production evidence captured 2026-07-21 UTC · repository evidence: docs/evidence/2026-07-20-held-recovery-live-proof-handoff.md</x:v>
      </x:c>
      <x:c r="B2" s="118"/>
      <x:c r="C2" s="118"/>
      <x:c r="D2" s="118"/>
      <x:c r="E2" s="118"/>
      <x:c r="F2" s="118"/>
      <x:c r="G2" s="118"/>
      <x:c r="H2" s="118"/>
      <x:c r="I2" s="118"/>
      <x:c r="J2" s="118"/>
      <x:c r="K2" s="118"/>
      <x:c r="L2" s="118"/>
      <x:c r="M2" s="118"/>
      <x:c r="N2" s="118"/>
      <x:c r="O2" s="118"/>
      <x:c r="P2" s="118"/>
    </x:row>
    <x:row r="3">
      <x:c r="A3" s="114"/>
      <x:c r="B3" s="114"/>
      <x:c r="C3" s="114"/>
      <x:c r="D3" s="114"/>
      <x:c r="E3" s="114"/>
      <x:c r="F3" s="114"/>
      <x:c r="G3" s="114"/>
      <x:c r="H3" s="114"/>
      <x:c r="I3" s="114"/>
      <x:c r="J3" s="114"/>
      <x:c r="K3" s="114"/>
      <x:c r="L3" s="114"/>
      <x:c r="M3" s="114"/>
      <x:c r="N3" s="114"/>
      <x:c r="O3" s="114"/>
      <x:c r="P3" s="114"/>
    </x:row>
    <x:row r="4" ht="30" customHeight="1">
      <x:c r="A4" s="119" t="str">
        <x:v>Phase / Pass</x:v>
      </x:c>
      <x:c r="B4" s="119" t="str">
        <x:v>Supplier</x:v>
      </x:c>
      <x:c r="C4" s="119" t="str">
        <x:v>Input</x:v>
      </x:c>
      <x:c r="D4" s="119" t="str">
        <x:v>Process / authority</x:v>
      </x:c>
      <x:c r="E4" s="119" t="str">
        <x:v>Control / kickback</x:v>
      </x:c>
      <x:c r="F4" s="119" t="str">
        <x:v>Output</x:v>
      </x:c>
      <x:c r="G4" s="119" t="str">
        <x:v>Customer</x:v>
      </x:c>
      <x:c r="H4" s="119" t="str">
        <x:v>Start UTC</x:v>
      </x:c>
      <x:c r="I4" s="119" t="str">
        <x:v>End UTC</x:v>
      </x:c>
      <x:c r="J4" s="119" t="str">
        <x:v>Seconds</x:v>
      </x:c>
      <x:c r="K4" s="119" t="str">
        <x:v>Artifacts cumulative</x:v>
      </x:c>
      <x:c r="L4" s="119" t="str">
        <x:v>Completeness</x:v>
      </x:c>
      <x:c r="M4" s="119" t="str">
        <x:v>Quality</x:v>
      </x:c>
      <x:c r="N4" s="119" t="str">
        <x:v>% acceptable</x:v>
      </x:c>
      <x:c r="O4" s="119" t="str">
        <x:v>Status</x:v>
      </x:c>
      <x:c r="P4" s="119" t="str">
        <x:v>Finding</x:v>
      </x:c>
    </x:row>
    <x:row r="5">
      <x:c r="A5" s="96" t="str">
        <x:v>Phase 0</x:v>
      </x:c>
      <x:c r="B5" s="97" t="str">
        <x:v>Manuscript intake; doctrine</x:v>
      </x:c>
      <x:c r="C5" s="97" t="str">
        <x:v>6,146 words; 34,548 chars</x:v>
      </x:c>
      <x:c r="D5" s="97" t="str">
        <x:v>Seed generation + fit-gap</x:v>
      </x:c>
      <x:c r="E5" s="97" t="str">
        <x:v>Seed schemas; canonical routing</x:v>
      </x:c>
      <x:c r="F5" s="97" t="str">
        <x:v>3 seed artifacts</x:v>
      </x:c>
      <x:c r="G5" s="97" t="str">
        <x:v>Phase 1A</x:v>
      </x:c>
      <x:c r="H5" s="97" t="str">
        <x:v>2026-07-21 04:58:43</x:v>
      </x:c>
      <x:c r="I5" s="97" t="str">
        <x:v>2026-07-21 04:58:58</x:v>
      </x:c>
      <x:c r="J5" s="98" t="n">
        <x:v>14.63</x:v>
      </x:c>
      <x:c r="K5" s="97" t="n">
        <x:v>3</x:v>
      </x:c>
      <x:c r="L5" s="99" t="n">
        <x:v>1</x:v>
      </x:c>
      <x:c r="M5" s="99" t="n">
        <x:v>1</x:v>
      </x:c>
      <x:c r="N5" s="99" t="n">
        <x:v>1</x:v>
      </x:c>
      <x:c r="O5" s="97" t="str">
        <x:v>PASS</x:v>
      </x:c>
      <x:c r="P5" s="97" t="str">
        <x:v>Long-form route selected; two chunks persisted.</x:v>
      </x:c>
    </x:row>
    <x:row r="6">
      <x:c r="A6" s="101" t="str">
        <x:v>Phase 0.5 / 1A</x:v>
      </x:c>
      <x:c r="B6" s="102" t="str">
        <x:v>Seeds; canonical text</x:v>
      </x:c>
      <x:c r="C6" s="102" t="str">
        <x:v>2 chunks; 316-word overlap</x:v>
      </x:c>
      <x:c r="D6" s="102" t="str">
        <x:v>Full-context ledger + story/character layers</x:v>
      </x:c>
      <x:c r="E6" s="102" t="str">
        <x:v>Structural validation; ledger quality gate</x:v>
      </x:c>
      <x:c r="F6" s="102" t="str">
        <x:v>Accepted story/character authority</x:v>
      </x:c>
      <x:c r="G6" s="102" t="str">
        <x:v>Phase 2</x:v>
      </x:c>
      <x:c r="H6" s="102" t="str">
        <x:v>2026-07-21 04:59:14</x:v>
      </x:c>
      <x:c r="I6" s="102" t="str">
        <x:v>2026-07-21 05:05:02</x:v>
      </x:c>
      <x:c r="J6" s="103" t="n">
        <x:v>348.52</x:v>
      </x:c>
      <x:c r="K6" s="102" t="n">
        <x:v>11</x:v>
      </x:c>
      <x:c r="L6" s="104" t="n">
        <x:v>1</x:v>
      </x:c>
      <x:c r="M6" s="104" t="n">
        <x:v>1</x:v>
      </x:c>
      <x:c r="N6" s="104" t="n">
        <x:v>1</x:v>
      </x:c>
      <x:c r="O6" s="102" t="str">
        <x:v>PASS</x:v>
      </x:c>
      <x:c r="P6" s="102" t="str">
        <x:v>Ledger completeness 100%; zero warnings/missing layers.</x:v>
      </x:c>
    </x:row>
    <x:row r="7">
      <x:c r="A7" s="101" t="str">
        <x:v>Phase 2</x:v>
      </x:c>
      <x:c r="B7" s="102" t="str">
        <x:v>Accepted ledgers; Pass 1 cache</x:v>
      </x:c>
      <x:c r="C7" s="102" t="str">
        <x:v>Two manuscript chunks</x:v>
      </x:c>
      <x:c r="D7" s="102" t="str">
        <x:v>Criteria analysis + Pass 1/2 handoff</x:v>
      </x:c>
      <x:c r="E7" s="102" t="str">
        <x:v>Handoff contract; output limits</x:v>
      </x:c>
      <x:c r="F7" s="102" t="str">
        <x:v>Pass 2 cache + durable handoff</x:v>
      </x:c>
      <x:c r="G7" s="102" t="str">
        <x:v>Phase 3</x:v>
      </x:c>
      <x:c r="H7" s="102" t="str">
        <x:v>2026-07-21 05:05:23</x:v>
      </x:c>
      <x:c r="I7" s="102" t="str">
        <x:v>2026-07-21 05:06:44</x:v>
      </x:c>
      <x:c r="J7" s="103" t="n">
        <x:v>80.67</x:v>
      </x:c>
      <x:c r="K7" s="102" t="n">
        <x:v>14</x:v>
      </x:c>
      <x:c r="L7" s="104" t="n">
        <x:v>1</x:v>
      </x:c>
      <x:c r="M7" s="104" t="n">
        <x:v>0.7</x:v>
      </x:c>
      <x:c r="N7" s="104" t="n">
        <x:v>0.895</x:v>
      </x:c>
      <x:c r="O7" s="102" t="str">
        <x:v>FAIL — LINEAGE</x:v>
      </x:c>
      <x:c r="P7" s="102" t="str">
        <x:v>Pass 2 produced 15 criterion recommendations; downstream lineage did not preserve them.</x:v>
      </x:c>
    </x:row>
    <x:row r="8">
      <x:c r="A8" s="101" t="str">
        <x:v>Phase 3</x:v>
      </x:c>
      <x:c r="B8" s="102" t="str">
        <x:v>Pass 1/2 handoff; preflight</x:v>
      </x:c>
      <x:c r="C8" s="102" t="str">
        <x:v>Criterion evidence + 15 Pass 2 recs</x:v>
      </x:c>
      <x:c r="D8" s="102" t="str">
        <x:v>Synthesis, harm test, QG, consistency</x:v>
      </x:c>
      <x:c r="E8" s="102" t="str">
        <x:v>Integrity/QG/status consistency</x:v>
      </x:c>
      <x:c r="F8" s="102" t="str">
        <x:v>0 criterion recs + 1 summary rec</x:v>
      </x:c>
      <x:c r="G8" s="102" t="str">
        <x:v>Phase 4</x:v>
      </x:c>
      <x:c r="H8" s="102" t="str">
        <x:v>2026-07-21 05:06:44</x:v>
      </x:c>
      <x:c r="I8" s="102" t="str">
        <x:v>2026-07-21 05:10:27</x:v>
      </x:c>
      <x:c r="J8" s="103" t="n">
        <x:v>223.03</x:v>
      </x:c>
      <x:c r="K8" s="102" t="n">
        <x:v>19</x:v>
      </x:c>
      <x:c r="L8" s="104" t="n">
        <x:v>1</x:v>
      </x:c>
      <x:c r="M8" s="104" t="n">
        <x:v>0.3</x:v>
      </x:c>
      <x:c r="N8" s="104" t="n">
        <x:v>0.755</x:v>
      </x:c>
      <x:c r="O8" s="102" t="str">
        <x:v>FAIL — PRODUCER</x:v>
      </x:c>
      <x:c r="P8" s="102" t="str">
        <x:v>All 15 Pass 2 recommendations disappeared without recommendation-level dispositions.</x:v>
      </x:c>
    </x:row>
    <x:row r="9">
      <x:c r="A9" s="101" t="str">
        <x:v>Phase 4</x:v>
      </x:c>
      <x:c r="B9" s="102" t="str">
        <x:v>Gated evaluation result</x:v>
      </x:c>
      <x:c r="C9" s="102" t="str">
        <x:v>13 criteria; valid empty statuses</x:v>
      </x:c>
      <x:c r="D9" s="102" t="str">
        <x:v>Build UED + certify author exposure</x:v>
      </x:c>
      <x:c r="E9" s="102" t="str">
        <x:v>Consistency; exposure; render parity</x:v>
      </x:c>
      <x:c r="F9" s="102" t="str">
        <x:v>Certified UED; explicit empty authority</x:v>
      </x:c>
      <x:c r="G9" s="102" t="str">
        <x:v>Revise</x:v>
      </x:c>
      <x:c r="H9" s="102" t="str">
        <x:v>2026-07-21 05:10:27</x:v>
      </x:c>
      <x:c r="I9" s="102" t="str">
        <x:v>2026-07-21 05:10:28</x:v>
      </x:c>
      <x:c r="J9" s="103" t="n">
        <x:v>1</x:v>
      </x:c>
      <x:c r="K9" s="102" t="n">
        <x:v>22</x:v>
      </x:c>
      <x:c r="L9" s="104" t="n">
        <x:v>1</x:v>
      </x:c>
      <x:c r="M9" s="104" t="n">
        <x:v>0.55</x:v>
      </x:c>
      <x:c r="N9" s="104" t="n">
        <x:v>0.8425</x:v>
      </x:c>
      <x:c r="O9" s="102" t="str">
        <x:v>PASS CONTRACT / FAIL USEFULNESS</x:v>
      </x:c>
      <x:c r="P9" s="102" t="str">
        <x:v>Certification correctly validated final state but cannot detect cross-pass lineage loss.</x:v>
      </x:c>
    </x:row>
    <x:row r="10">
      <x:c r="A10" s="101" t="str">
        <x:v>Phase 5</x:v>
      </x:c>
      <x:c r="B10" s="102" t="str">
        <x:v>Certified UED</x:v>
      </x:c>
      <x:c r="C10" s="102" t="str">
        <x:v>canonicalOpportunityLedger.opportunities=[]</x:v>
      </x:c>
      <x:c r="D10" s="102" t="str">
        <x:v>Persist canonical Revise ledger</x:v>
      </x:c>
      <x:c r="E10" s="102" t="str">
        <x:v>Missing/malformed fail closed; empty allowed</x:v>
      </x:c>
      <x:c r="F10" s="102" t="str">
        <x:v>1 empty ledger; 0 cards</x:v>
      </x:c>
      <x:c r="G10" s="102" t="str">
        <x:v>Editor</x:v>
      </x:c>
      <x:c r="H10" s="102" t="str">
        <x:v>2026-07-21 05:10:28</x:v>
      </x:c>
      <x:c r="I10" s="102" t="str">
        <x:v>2026-07-21 05:10:28</x:v>
      </x:c>
      <x:c r="J10" s="103" t="n">
        <x:v>0</x:v>
      </x:c>
      <x:c r="K10" s="102" t="n">
        <x:v>23</x:v>
      </x:c>
      <x:c r="L10" s="104" t="n">
        <x:v>1</x:v>
      </x:c>
      <x:c r="M10" s="104" t="n">
        <x:v>0</x:v>
      </x:c>
      <x:c r="N10" s="104" t="n">
        <x:v>0.65</x:v>
      </x:c>
      <x:c r="O10" s="102" t="str">
        <x:v>HARD FAIL</x:v>
      </x:c>
      <x:c r="P10" s="102" t="str">
        <x:v>Same manuscript historically produced 15 cards; current pipeline produced none.</x:v>
      </x:c>
    </x:row>
    <x:row r="11">
      <x:c r="A11" s="101" t="str">
        <x:v>Held Recovery</x:v>
      </x:c>
      <x:c r="B11" s="102" t="str">
        <x:v>Canonical recoverable opportunity</x:v>
      </x:c>
      <x:c r="C11" s="102" t="str">
        <x:v>No held opportunity produced</x:v>
      </x:c>
      <x:c r="D11" s="102" t="str">
        <x:v>Initiate → reconstruct → verify → Readmit</x:v>
      </x:c>
      <x:c r="E11" s="102" t="str">
        <x:v>Exact target; identity/version/fingerprint</x:v>
      </x:c>
      <x:c r="F11" s="102" t="str">
        <x:v>No Held authority or recovery rows</x:v>
      </x:c>
      <x:c r="G11" s="102" t="str">
        <x:v>Workbench</x:v>
      </x:c>
      <x:c r="H11" s="102"/>
      <x:c r="I11" s="102"/>
      <x:c r="J11" s="103" t="n">
        <x:v>0</x:v>
      </x:c>
      <x:c r="K11" s="102" t="n">
        <x:v>0</x:v>
      </x:c>
      <x:c r="L11" s="104" t="n">
        <x:v>0</x:v>
      </x:c>
      <x:c r="M11" s="104" t="n">
        <x:v>0</x:v>
      </x:c>
      <x:c r="N11" s="104" t="n">
        <x:v>0</x:v>
      </x:c>
      <x:c r="O11" s="102" t="str">
        <x:v>UNPROVEN</x:v>
      </x:c>
      <x:c r="P11" s="102" t="str">
        <x:v>0 identities, attempts, work items, anchors, transitions, or Readmission rows.</x:v>
      </x:c>
    </x:row>
    <x:row r="12">
      <x:c r="A12" s="114"/>
      <x:c r="B12" s="114"/>
      <x:c r="C12" s="114"/>
      <x:c r="D12" s="114"/>
      <x:c r="E12" s="114"/>
      <x:c r="F12" s="114"/>
      <x:c r="G12" s="114"/>
      <x:c r="H12" s="114"/>
      <x:c r="I12" s="114"/>
      <x:c r="J12" s="114"/>
      <x:c r="K12" s="114"/>
      <x:c r="L12" s="114"/>
      <x:c r="M12" s="114"/>
      <x:c r="N12" s="114"/>
      <x:c r="O12" s="114"/>
      <x:c r="P12" s="114"/>
    </x:row>
    <x:row r="13">
      <x:c r="A13" s="114"/>
      <x:c r="B13" s="114"/>
      <x:c r="C13" s="114"/>
      <x:c r="D13" s="114"/>
      <x:c r="E13" s="114"/>
      <x:c r="F13" s="114"/>
      <x:c r="G13" s="114"/>
      <x:c r="H13" s="114"/>
      <x:c r="I13" s="114"/>
      <x:c r="J13" s="114"/>
      <x:c r="K13" s="114"/>
      <x:c r="L13" s="114"/>
      <x:c r="M13" s="114"/>
      <x:c r="N13" s="114"/>
      <x:c r="O13" s="114"/>
      <x:c r="P13" s="114"/>
    </x:row>
    <x:row r="14">
      <x:c r="A14" s="120" t="str">
        <x:v>Recommendation lineage (production-proven loss point)</x:v>
      </x:c>
      <x:c r="B14" s="120"/>
      <x:c r="C14" s="120"/>
      <x:c r="D14" s="120"/>
      <x:c r="E14" s="120"/>
      <x:c r="F14" s="120"/>
      <x:c r="G14" s="120"/>
      <x:c r="H14" s="120"/>
      <x:c r="I14" s="120"/>
      <x:c r="J14" s="120"/>
      <x:c r="K14" s="120"/>
      <x:c r="L14" s="120"/>
      <x:c r="M14" s="120"/>
      <x:c r="N14" s="120"/>
      <x:c r="O14" s="120"/>
      <x:c r="P14" s="120"/>
    </x:row>
    <x:row r="15">
      <x:c r="A15" s="119" t="str">
        <x:v>Artifact boundary</x:v>
      </x:c>
      <x:c r="B15" s="119" t="str">
        <x:v>Criterion recommendations</x:v>
      </x:c>
      <x:c r="C15" s="119" t="str">
        <x:v>Summary recommendations</x:v>
      </x:c>
      <x:c r="D15" s="119" t="str">
        <x:v>Disposition / result</x:v>
      </x:c>
      <x:c r="E15" s="114"/>
      <x:c r="F15" s="114"/>
      <x:c r="G15" s="114"/>
      <x:c r="H15" s="114"/>
      <x:c r="I15" s="114"/>
      <x:c r="J15" s="114"/>
      <x:c r="K15" s="114"/>
      <x:c r="L15" s="114"/>
      <x:c r="M15" s="114"/>
      <x:c r="N15" s="114"/>
      <x:c r="O15" s="114"/>
      <x:c r="P15" s="114"/>
    </x:row>
    <x:row r="16">
      <x:c r="A16" s="81" t="str">
        <x:v>Pass 1 chunk cache</x:v>
      </x:c>
      <x:c r="B16" s="82" t="n">
        <x:v>0</x:v>
      </x:c>
      <x:c r="C16" s="82" t="n">
        <x:v>0</x:v>
      </x:c>
      <x:c r="D16" s="82" t="str">
        <x:v>Observation only</x:v>
      </x:c>
      <x:c r="E16" s="114"/>
      <x:c r="F16" s="114"/>
      <x:c r="G16" s="114"/>
      <x:c r="H16" s="114"/>
      <x:c r="I16" s="114"/>
      <x:c r="J16" s="114"/>
      <x:c r="K16" s="114"/>
      <x:c r="L16" s="114"/>
      <x:c r="M16" s="114"/>
      <x:c r="N16" s="114"/>
      <x:c r="O16" s="114"/>
      <x:c r="P16" s="114"/>
    </x:row>
    <x:row r="17">
      <x:c r="A17" s="86" t="str">
        <x:v>Pass 2 chunk cache</x:v>
      </x:c>
      <x:c r="B17" s="87" t="n">
        <x:v>15</x:v>
      </x:c>
      <x:c r="C17" s="87" t="n">
        <x:v>0</x:v>
      </x:c>
      <x:c r="D17" s="87" t="str">
        <x:v>15 actionable candidate recommendations emitted</x:v>
      </x:c>
      <x:c r="E17" s="114"/>
      <x:c r="F17" s="114"/>
      <x:c r="G17" s="114"/>
      <x:c r="H17" s="114"/>
      <x:c r="I17" s="114"/>
      <x:c r="J17" s="114"/>
      <x:c r="K17" s="114"/>
      <x:c r="L17" s="114"/>
      <x:c r="M17" s="114"/>
      <x:c r="N17" s="114"/>
      <x:c r="O17" s="114"/>
      <x:c r="P17" s="114"/>
    </x:row>
    <x:row r="18">
      <x:c r="A18" s="86" t="str">
        <x:v>Post-QG effective snapshot</x:v>
      </x:c>
      <x:c r="B18" s="87" t="n">
        <x:v>0</x:v>
      </x:c>
      <x:c r="C18" s="87" t="n">
        <x:v>1</x:v>
      </x:c>
      <x:c r="D18" s="87" t="str">
        <x:v>Criterion recommendations eliminated; summary retained</x:v>
      </x:c>
      <x:c r="E18" s="114"/>
      <x:c r="F18" s="114"/>
      <x:c r="G18" s="114"/>
      <x:c r="H18" s="114"/>
      <x:c r="I18" s="114"/>
      <x:c r="J18" s="114"/>
      <x:c r="K18" s="114"/>
      <x:c r="L18" s="114"/>
      <x:c r="M18" s="114"/>
      <x:c r="N18" s="114"/>
      <x:c r="O18" s="114"/>
      <x:c r="P18" s="114"/>
    </x:row>
    <x:row r="19">
      <x:c r="A19" s="86" t="str">
        <x:v>evaluation_result_v2</x:v>
      </x:c>
      <x:c r="B19" s="87" t="n">
        <x:v>0</x:v>
      </x:c>
      <x:c r="C19" s="87" t="n">
        <x:v>1</x:v>
      </x:c>
      <x:c r="D19" s="87" t="str">
        <x:v>Final criterion collection empty</x:v>
      </x:c>
      <x:c r="E19" s="114"/>
      <x:c r="F19" s="114"/>
      <x:c r="G19" s="114"/>
      <x:c r="H19" s="114"/>
      <x:c r="I19" s="114"/>
      <x:c r="J19" s="114"/>
      <x:c r="K19" s="114"/>
      <x:c r="L19" s="114"/>
      <x:c r="M19" s="114"/>
      <x:c r="N19" s="114"/>
      <x:c r="O19" s="114"/>
      <x:c r="P19" s="114"/>
    </x:row>
    <x:row r="20">
      <x:c r="A20" s="86" t="str">
        <x:v>UED</x:v>
      </x:c>
      <x:c r="B20" s="87" t="n">
        <x:v>0</x:v>
      </x:c>
      <x:c r="C20" s="87" t="n">
        <x:v>1</x:v>
      </x:c>
      <x:c r="D20" s="87" t="str">
        <x:v>topRecommendations retained; canonical opportunities empty</x:v>
      </x:c>
      <x:c r="E20" s="114"/>
      <x:c r="F20" s="114"/>
      <x:c r="G20" s="114"/>
      <x:c r="H20" s="114"/>
      <x:c r="I20" s="114"/>
      <x:c r="J20" s="114"/>
      <x:c r="K20" s="114"/>
      <x:c r="L20" s="114"/>
      <x:c r="M20" s="114"/>
      <x:c r="N20" s="114"/>
      <x:c r="O20" s="114"/>
      <x:c r="P20" s="114"/>
    </x:row>
    <x:row r="21">
      <x:c r="A21" s="86" t="str">
        <x:v>Revise ledger</x:v>
      </x:c>
      <x:c r="B21" s="87" t="n">
        <x:v>0</x:v>
      </x:c>
      <x:c r="C21" s="87" t="n">
        <x:v>0</x:v>
      </x:c>
      <x:c r="D21" s="87" t="str">
        <x:v>opportunities: []</x:v>
      </x:c>
      <x:c r="E21" s="114"/>
      <x:c r="F21" s="114"/>
      <x:c r="G21" s="114"/>
      <x:c r="H21" s="114"/>
      <x:c r="I21" s="114"/>
      <x:c r="J21" s="114"/>
      <x:c r="K21" s="114"/>
      <x:c r="L21" s="114"/>
      <x:c r="M21" s="114"/>
      <x:c r="N21" s="114"/>
      <x:c r="O21" s="114"/>
      <x:c r="P21" s="114"/>
    </x:row>
    <x:row r="22">
      <x:c r="A22" s="114"/>
      <x:c r="B22" s="114"/>
      <x:c r="C22" s="114"/>
      <x:c r="D22" s="114"/>
      <x:c r="E22" s="114"/>
      <x:c r="F22" s="114"/>
      <x:c r="G22" s="114"/>
      <x:c r="H22" s="114"/>
      <x:c r="I22" s="114"/>
      <x:c r="J22" s="114"/>
      <x:c r="K22" s="114"/>
      <x:c r="L22" s="114"/>
      <x:c r="M22" s="114"/>
      <x:c r="N22" s="114"/>
      <x:c r="O22" s="114"/>
      <x:c r="P22" s="114"/>
    </x:row>
    <x:row r="23">
      <x:c r="A23" s="120" t="str">
        <x:v>Criterion results and governed dispositions</x:v>
      </x:c>
      <x:c r="B23" s="120"/>
      <x:c r="C23" s="120"/>
      <x:c r="D23" s="120"/>
      <x:c r="E23" s="120"/>
      <x:c r="F23" s="120"/>
      <x:c r="G23" s="120"/>
      <x:c r="H23" s="120"/>
      <x:c r="I23" s="120"/>
      <x:c r="J23" s="120"/>
      <x:c r="K23" s="120"/>
      <x:c r="L23" s="120"/>
      <x:c r="M23" s="120"/>
      <x:c r="N23" s="120"/>
      <x:c r="O23" s="120"/>
      <x:c r="P23" s="120"/>
    </x:row>
    <x:row r="24">
      <x:c r="A24" s="119" t="str">
        <x:v>Criterion</x:v>
      </x:c>
      <x:c r="B24" s="119" t="str">
        <x:v>Score</x:v>
      </x:c>
      <x:c r="C24" s="119" t="str">
        <x:v>Confidence</x:v>
      </x:c>
      <x:c r="D24" s="119" t="str">
        <x:v>Final recommendation count</x:v>
      </x:c>
      <x:c r="E24" s="119" t="str">
        <x:v>Final disposition</x:v>
      </x:c>
      <x:c r="F24" s="114"/>
      <x:c r="G24" s="114"/>
      <x:c r="H24" s="114"/>
      <x:c r="I24" s="114"/>
      <x:c r="J24" s="114"/>
      <x:c r="K24" s="114"/>
      <x:c r="L24" s="114"/>
      <x:c r="M24" s="114"/>
      <x:c r="N24" s="114"/>
      <x:c r="O24" s="114"/>
      <x:c r="P24" s="114"/>
    </x:row>
    <x:row r="25">
      <x:c r="A25" s="81" t="str">
        <x:v>Concept</x:v>
      </x:c>
      <x:c r="B25" s="82" t="n">
        <x:v>8</x:v>
      </x:c>
      <x:c r="C25" s="82" t="str">
        <x:v>Moderate</x:v>
      </x:c>
      <x:c r="D25" s="82" t="n">
        <x:v>0</x:v>
      </x:c>
      <x:c r="E25" s="82" t="str">
        <x:v>no_recommendation_warranted</x:v>
      </x:c>
      <x:c r="F25" s="114"/>
      <x:c r="G25" s="114"/>
      <x:c r="H25" s="114"/>
      <x:c r="I25" s="114"/>
      <x:c r="J25" s="114"/>
      <x:c r="K25" s="114"/>
      <x:c r="L25" s="114"/>
      <x:c r="M25" s="114"/>
      <x:c r="N25" s="114"/>
      <x:c r="O25" s="114"/>
      <x:c r="P25" s="114"/>
    </x:row>
    <x:row r="26">
      <x:c r="A26" s="86" t="str">
        <x:v>Narrative Drive</x:v>
      </x:c>
      <x:c r="B26" s="87" t="n">
        <x:v>6</x:v>
      </x:c>
      <x:c r="C26" s="87" t="str">
        <x:v>High</x:v>
      </x:c>
      <x:c r="D26" s="87" t="n">
        <x:v>0</x:v>
      </x:c>
      <x:c r="E26" s="87" t="str">
        <x:v>gate_suppressed_no_safe_recommendation</x:v>
      </x:c>
      <x:c r="F26" s="114"/>
      <x:c r="G26" s="114"/>
      <x:c r="H26" s="114"/>
      <x:c r="I26" s="114"/>
      <x:c r="J26" s="114"/>
      <x:c r="K26" s="114"/>
      <x:c r="L26" s="114"/>
      <x:c r="M26" s="114"/>
      <x:c r="N26" s="114"/>
      <x:c r="O26" s="114"/>
      <x:c r="P26" s="114"/>
    </x:row>
    <x:row r="27">
      <x:c r="A27" s="86" t="str">
        <x:v>Character</x:v>
      </x:c>
      <x:c r="B27" s="87" t="n">
        <x:v>9</x:v>
      </x:c>
      <x:c r="C27" s="87" t="str">
        <x:v>Moderate</x:v>
      </x:c>
      <x:c r="D27" s="87" t="n">
        <x:v>0</x:v>
      </x:c>
      <x:c r="E27" s="87" t="str">
        <x:v>no_recommendation_warranted</x:v>
      </x:c>
      <x:c r="F27" s="114"/>
      <x:c r="G27" s="114"/>
      <x:c r="H27" s="114"/>
      <x:c r="I27" s="114"/>
      <x:c r="J27" s="114"/>
      <x:c r="K27" s="114"/>
      <x:c r="L27" s="114"/>
      <x:c r="M27" s="114"/>
      <x:c r="N27" s="114"/>
      <x:c r="O27" s="114"/>
      <x:c r="P27" s="114"/>
    </x:row>
    <x:row r="28">
      <x:c r="A28" s="86" t="str">
        <x:v>Voice</x:v>
      </x:c>
      <x:c r="B28" s="87" t="n">
        <x:v>8</x:v>
      </x:c>
      <x:c r="C28" s="87" t="str">
        <x:v>High</x:v>
      </x:c>
      <x:c r="D28" s="87" t="n">
        <x:v>0</x:v>
      </x:c>
      <x:c r="E28" s="87" t="str">
        <x:v>no_recommendation_warranted</x:v>
      </x:c>
      <x:c r="F28" s="114"/>
      <x:c r="G28" s="114"/>
      <x:c r="H28" s="114"/>
      <x:c r="I28" s="114"/>
      <x:c r="J28" s="114"/>
      <x:c r="K28" s="114"/>
      <x:c r="L28" s="114"/>
      <x:c r="M28" s="114"/>
      <x:c r="N28" s="114"/>
      <x:c r="O28" s="114"/>
      <x:c r="P28" s="114"/>
    </x:row>
    <x:row r="29">
      <x:c r="A29" s="86" t="str">
        <x:v>Scene Construction</x:v>
      </x:c>
      <x:c r="B29" s="87" t="n">
        <x:v>7</x:v>
      </x:c>
      <x:c r="C29" s="87" t="str">
        <x:v>Moderate</x:v>
      </x:c>
      <x:c r="D29" s="87" t="n">
        <x:v>0</x:v>
      </x:c>
      <x:c r="E29" s="87" t="str">
        <x:v>gate_suppressed_no_safe_recommendation</x:v>
      </x:c>
      <x:c r="F29" s="114"/>
      <x:c r="G29" s="114"/>
      <x:c r="H29" s="114"/>
      <x:c r="I29" s="114"/>
      <x:c r="J29" s="114"/>
      <x:c r="K29" s="114"/>
      <x:c r="L29" s="114"/>
      <x:c r="M29" s="114"/>
      <x:c r="N29" s="114"/>
      <x:c r="O29" s="114"/>
      <x:c r="P29" s="114"/>
    </x:row>
    <x:row r="30">
      <x:c r="A30" s="86" t="str">
        <x:v>Dialogue</x:v>
      </x:c>
      <x:c r="B30" s="87" t="n">
        <x:v>9</x:v>
      </x:c>
      <x:c r="C30" s="87" t="str">
        <x:v>Moderate</x:v>
      </x:c>
      <x:c r="D30" s="87" t="n">
        <x:v>0</x:v>
      </x:c>
      <x:c r="E30" s="87" t="str">
        <x:v>no_recommendation_warranted</x:v>
      </x:c>
      <x:c r="F30" s="114"/>
      <x:c r="G30" s="114"/>
      <x:c r="H30" s="114"/>
      <x:c r="I30" s="114"/>
      <x:c r="J30" s="114"/>
      <x:c r="K30" s="114"/>
      <x:c r="L30" s="114"/>
      <x:c r="M30" s="114"/>
      <x:c r="N30" s="114"/>
      <x:c r="O30" s="114"/>
      <x:c r="P30" s="114"/>
    </x:row>
    <x:row r="31">
      <x:c r="A31" s="86" t="str">
        <x:v>Theme</x:v>
      </x:c>
      <x:c r="B31" s="87" t="n">
        <x:v>8</x:v>
      </x:c>
      <x:c r="C31" s="87" t="str">
        <x:v>High</x:v>
      </x:c>
      <x:c r="D31" s="87" t="n">
        <x:v>0</x:v>
      </x:c>
      <x:c r="E31" s="87" t="str">
        <x:v>no_recommendation_warranted</x:v>
      </x:c>
      <x:c r="F31" s="114"/>
      <x:c r="G31" s="114"/>
      <x:c r="H31" s="114"/>
      <x:c r="I31" s="114"/>
      <x:c r="J31" s="114"/>
      <x:c r="K31" s="114"/>
      <x:c r="L31" s="114"/>
      <x:c r="M31" s="114"/>
      <x:c r="N31" s="114"/>
      <x:c r="O31" s="114"/>
      <x:c r="P31" s="114"/>
    </x:row>
    <x:row r="32">
      <x:c r="A32" s="86" t="str">
        <x:v>Worldbuilding</x:v>
      </x:c>
      <x:c r="B32" s="87" t="n">
        <x:v>8</x:v>
      </x:c>
      <x:c r="C32" s="87" t="str">
        <x:v>Moderate</x:v>
      </x:c>
      <x:c r="D32" s="87" t="n">
        <x:v>0</x:v>
      </x:c>
      <x:c r="E32" s="87" t="str">
        <x:v>no_recommendation_warranted</x:v>
      </x:c>
      <x:c r="F32" s="114"/>
      <x:c r="G32" s="114"/>
      <x:c r="H32" s="114"/>
      <x:c r="I32" s="114"/>
      <x:c r="J32" s="114"/>
      <x:c r="K32" s="114"/>
      <x:c r="L32" s="114"/>
      <x:c r="M32" s="114"/>
      <x:c r="N32" s="114"/>
      <x:c r="O32" s="114"/>
      <x:c r="P32" s="114"/>
    </x:row>
    <x:row r="33">
      <x:c r="A33" s="86" t="str">
        <x:v>Pacing</x:v>
      </x:c>
      <x:c r="B33" s="87" t="n">
        <x:v>5</x:v>
      </x:c>
      <x:c r="C33" s="87" t="str">
        <x:v>High</x:v>
      </x:c>
      <x:c r="D33" s="87" t="n">
        <x:v>0</x:v>
      </x:c>
      <x:c r="E33" s="87" t="str">
        <x:v>gate_suppressed_no_safe_recommendation</x:v>
      </x:c>
      <x:c r="F33" s="114"/>
      <x:c r="G33" s="114"/>
      <x:c r="H33" s="114"/>
      <x:c r="I33" s="114"/>
      <x:c r="J33" s="114"/>
      <x:c r="K33" s="114"/>
      <x:c r="L33" s="114"/>
      <x:c r="M33" s="114"/>
      <x:c r="N33" s="114"/>
      <x:c r="O33" s="114"/>
      <x:c r="P33" s="114"/>
    </x:row>
    <x:row r="34">
      <x:c r="A34" s="86" t="str">
        <x:v>Prose Control</x:v>
      </x:c>
      <x:c r="B34" s="87" t="n">
        <x:v>7</x:v>
      </x:c>
      <x:c r="C34" s="87" t="str">
        <x:v>High</x:v>
      </x:c>
      <x:c r="D34" s="87" t="n">
        <x:v>0</x:v>
      </x:c>
      <x:c r="E34" s="87" t="str">
        <x:v>gate_suppressed_no_safe_recommendation</x:v>
      </x:c>
      <x:c r="F34" s="114"/>
      <x:c r="G34" s="114"/>
      <x:c r="H34" s="114"/>
      <x:c r="I34" s="114"/>
      <x:c r="J34" s="114"/>
      <x:c r="K34" s="114"/>
      <x:c r="L34" s="114"/>
      <x:c r="M34" s="114"/>
      <x:c r="N34" s="114"/>
      <x:c r="O34" s="114"/>
      <x:c r="P34" s="114"/>
    </x:row>
    <x:row r="35">
      <x:c r="A35" s="86" t="str">
        <x:v>Tone</x:v>
      </x:c>
      <x:c r="B35" s="87" t="n">
        <x:v>8</x:v>
      </x:c>
      <x:c r="C35" s="87" t="str">
        <x:v>Moderate</x:v>
      </x:c>
      <x:c r="D35" s="87" t="n">
        <x:v>0</x:v>
      </x:c>
      <x:c r="E35" s="87" t="str">
        <x:v>no_recommendation_warranted</x:v>
      </x:c>
      <x:c r="F35" s="114"/>
      <x:c r="G35" s="114"/>
      <x:c r="H35" s="114"/>
      <x:c r="I35" s="114"/>
      <x:c r="J35" s="114"/>
      <x:c r="K35" s="114"/>
      <x:c r="L35" s="114"/>
      <x:c r="M35" s="114"/>
      <x:c r="N35" s="114"/>
      <x:c r="O35" s="114"/>
      <x:c r="P35" s="114"/>
    </x:row>
    <x:row r="36">
      <x:c r="A36" s="86" t="str">
        <x:v>Narrative Closure</x:v>
      </x:c>
      <x:c r="B36" s="87" t="n">
        <x:v>5</x:v>
      </x:c>
      <x:c r="C36" s="87" t="str">
        <x:v>Moderate</x:v>
      </x:c>
      <x:c r="D36" s="87" t="n">
        <x:v>0</x:v>
      </x:c>
      <x:c r="E36" s="87" t="str">
        <x:v>insufficient_evidence</x:v>
      </x:c>
      <x:c r="F36" s="114"/>
      <x:c r="G36" s="114"/>
      <x:c r="H36" s="114"/>
      <x:c r="I36" s="114"/>
      <x:c r="J36" s="114"/>
      <x:c r="K36" s="114"/>
      <x:c r="L36" s="114"/>
      <x:c r="M36" s="114"/>
      <x:c r="N36" s="114"/>
      <x:c r="O36" s="114"/>
      <x:c r="P36" s="114"/>
    </x:row>
    <x:row r="37">
      <x:c r="A37" s="86" t="str">
        <x:v>Marketability</x:v>
      </x:c>
      <x:c r="B37" s="87" t="n">
        <x:v>7</x:v>
      </x:c>
      <x:c r="C37" s="87" t="str">
        <x:v>Moderate</x:v>
      </x:c>
      <x:c r="D37" s="87" t="n">
        <x:v>0</x:v>
      </x:c>
      <x:c r="E37" s="87" t="str">
        <x:v>no_recommendation_warranted</x:v>
      </x:c>
      <x:c r="F37" s="114"/>
      <x:c r="G37" s="114"/>
      <x:c r="H37" s="114"/>
      <x:c r="I37" s="114"/>
      <x:c r="J37" s="114"/>
      <x:c r="K37" s="114"/>
      <x:c r="L37" s="114"/>
      <x:c r="M37" s="114"/>
      <x:c r="N37" s="114"/>
      <x:c r="O37" s="114"/>
      <x:c r="P37" s="114"/>
    </x:row>
    <x:row r="38">
      <x:c r="A38" s="114"/>
      <x:c r="B38" s="114"/>
      <x:c r="C38" s="114"/>
      <x:c r="D38" s="114"/>
      <x:c r="E38" s="114"/>
      <x:c r="F38" s="114"/>
      <x:c r="G38" s="114"/>
      <x:c r="H38" s="114"/>
      <x:c r="I38" s="114"/>
      <x:c r="J38" s="114"/>
      <x:c r="K38" s="114"/>
      <x:c r="L38" s="114"/>
      <x:c r="M38" s="114"/>
      <x:c r="N38" s="114"/>
      <x:c r="O38" s="114"/>
      <x:c r="P38" s="114"/>
    </x:row>
    <x:row r="39">
      <x:c r="A39" s="120" t="str">
        <x:v>Root cause, corrective action, mistake-proofing, and kickback contract</x:v>
      </x:c>
      <x:c r="B39" s="120"/>
      <x:c r="C39" s="120"/>
      <x:c r="D39" s="120"/>
      <x:c r="E39" s="120"/>
      <x:c r="F39" s="120"/>
      <x:c r="G39" s="120"/>
      <x:c r="H39" s="120"/>
      <x:c r="I39" s="120"/>
      <x:c r="J39" s="120"/>
      <x:c r="K39" s="120"/>
      <x:c r="L39" s="120"/>
      <x:c r="M39" s="120"/>
      <x:c r="N39" s="120"/>
      <x:c r="O39" s="120"/>
      <x:c r="P39" s="120"/>
    </x:row>
    <x:row r="40">
      <x:c r="A40" s="119" t="str">
        <x:v>Class</x:v>
      </x:c>
      <x:c r="B40" s="119" t="str">
        <x:v>Finding / requirement</x:v>
      </x:c>
      <x:c r="C40" s="119" t="str">
        <x:v>Owner</x:v>
      </x:c>
      <x:c r="D40" s="119" t="str">
        <x:v>Exit criterion</x:v>
      </x:c>
      <x:c r="E40" s="114"/>
      <x:c r="F40" s="114"/>
      <x:c r="G40" s="114"/>
      <x:c r="H40" s="114"/>
      <x:c r="I40" s="114"/>
      <x:c r="J40" s="114"/>
      <x:c r="K40" s="114"/>
      <x:c r="L40" s="114"/>
      <x:c r="M40" s="114"/>
      <x:c r="N40" s="114"/>
      <x:c r="O40" s="114"/>
      <x:c r="P40" s="114"/>
    </x:row>
    <x:row r="41">
      <x:c r="A41" s="81" t="str">
        <x:v>Root cause</x:v>
      </x:c>
      <x:c r="B41" s="82" t="str">
        <x:v>Pass 3 validates final criterion cardinality but has no mandatory one-to-one disposition contract for the 15 Pass 2 source recommendations.</x:v>
      </x:c>
      <x:c r="C41" s="82" t="str">
        <x:v>Evaluate synthesis authority</x:v>
      </x:c>
      <x:c r="D41" s="82" t="str">
        <x:v>Every upstream recommendation has one stable, persisted outcome.</x:v>
      </x:c>
      <x:c r="E41" s="114"/>
      <x:c r="F41" s="114"/>
      <x:c r="G41" s="114"/>
      <x:c r="H41" s="114"/>
      <x:c r="I41" s="114"/>
      <x:c r="J41" s="114"/>
      <x:c r="K41" s="114"/>
      <x:c r="L41" s="114"/>
      <x:c r="M41" s="114"/>
      <x:c r="N41" s="114"/>
      <x:c r="O41" s="114"/>
      <x:c r="P41" s="114"/>
    </x:row>
    <x:row r="42">
      <x:c r="A42" s="86" t="str">
        <x:v>Corrective action</x:v>
      </x:c>
      <x:c r="B42" s="87" t="str">
        <x:v>Assign stable Pass 2 recommendation identities; require retained, consolidated-with-target, or suppressed-with-rule/evidence outcomes in Pass 3.</x:v>
      </x:c>
      <x:c r="C42" s="87" t="str">
        <x:v>Pass 2 → Pass 3 handoff</x:v>
      </x:c>
      <x:c r="D42" s="87" t="str">
        <x:v>15 source IDs = 15 unique disposition outcomes; no missing/duplicate/unexpected IDs.</x:v>
      </x:c>
      <x:c r="E42" s="114"/>
      <x:c r="F42" s="114"/>
      <x:c r="G42" s="114"/>
      <x:c r="H42" s="114"/>
      <x:c r="I42" s="114"/>
      <x:c r="J42" s="114"/>
      <x:c r="K42" s="114"/>
      <x:c r="L42" s="114"/>
      <x:c r="M42" s="114"/>
      <x:c r="N42" s="114"/>
      <x:c r="O42" s="114"/>
      <x:c r="P42" s="114"/>
    </x:row>
    <x:row r="43">
      <x:c r="A43" s="86" t="str">
        <x:v>Kickback</x:v>
      </x:c>
      <x:c r="B43" s="87" t="str">
        <x:v>Missing/duplicate/unexpected source identities receive a specific failure code and one durable Pass 3 retry.</x:v>
      </x:c>
      <x:c r="C43" s="87" t="str">
        <x:v>Processor recovery</x:v>
      </x:c>
      <x:c r="D43" s="87" t="str">
        <x:v>Pure lineage defect retries once; mixed/unrelated defects remain terminal.</x:v>
      </x:c>
      <x:c r="E43" s="114"/>
      <x:c r="F43" s="114"/>
      <x:c r="G43" s="114"/>
      <x:c r="H43" s="114"/>
      <x:c r="I43" s="114"/>
      <x:c r="J43" s="114"/>
      <x:c r="K43" s="114"/>
      <x:c r="L43" s="114"/>
      <x:c r="M43" s="114"/>
      <x:c r="N43" s="114"/>
      <x:c r="O43" s="114"/>
      <x:c r="P43" s="114"/>
    </x:row>
    <x:row r="44">
      <x:c r="A44" s="86" t="str">
        <x:v>Downstream protection</x:v>
      </x:c>
      <x:c r="B44" s="87" t="str">
        <x:v>Block UED certification, ledger persistence, and Revise projection after retry exhaustion.</x:v>
      </x:c>
      <x:c r="C44" s="87" t="str">
        <x:v>Certification/persistence</x:v>
      </x:c>
      <x:c r="D44" s="87" t="str">
        <x:v>Persistence and Workbench functions proven unreachable on exhausted lineage defect.</x:v>
      </x:c>
      <x:c r="E44" s="114"/>
      <x:c r="F44" s="114"/>
      <x:c r="G44" s="114"/>
      <x:c r="H44" s="114"/>
      <x:c r="I44" s="114"/>
      <x:c r="J44" s="114"/>
      <x:c r="K44" s="114"/>
      <x:c r="L44" s="114"/>
      <x:c r="M44" s="114"/>
      <x:c r="N44" s="114"/>
      <x:c r="O44" s="114"/>
      <x:c r="P44" s="114"/>
    </x:row>
    <x:row r="45">
      <x:c r="A45" s="86" t="str">
        <x:v>Mistake-proofing</x:v>
      </x:c>
      <x:c r="B45" s="87" t="str">
        <x:v>One canonical identity/disposition predicate; production-shaped 15→0 characterization; critical-test guard; SIPOC/FIPOC registry parity.</x:v>
      </x:c>
      <x:c r="C45" s="87" t="str">
        <x:v>Governance/CI</x:v>
      </x:c>
      <x:c r="D45" s="87" t="str">
        <x:v>Alternate executable paths and stale fixtures fail before merge.</x:v>
      </x:c>
      <x:c r="E45" s="114"/>
      <x:c r="F45" s="114"/>
      <x:c r="G45" s="114"/>
      <x:c r="H45" s="114"/>
      <x:c r="I45" s="114"/>
      <x:c r="J45" s="114"/>
      <x:c r="K45" s="114"/>
      <x:c r="L45" s="114"/>
      <x:c r="M45" s="114"/>
      <x:c r="N45" s="114"/>
      <x:c r="O45" s="114"/>
      <x:c r="P45" s="114"/>
    </x:row>
    <x:row r="46">
      <x:c r="A46" s="86" t="str">
        <x:v>Progress defect</x:v>
      </x:c>
      <x:c r="B46" s="87" t="str">
        <x:v>100% was emitted while Phase 3B remained active for ~223 seconds.</x:v>
      </x:c>
      <x:c r="C46" s="87" t="str">
        <x:v>Progress authority/UI</x:v>
      </x:c>
      <x:c r="D46" s="87" t="str">
        <x:v>100% only after final persistence; phase-local progress remains &lt;100 while work continues.</x:v>
      </x:c>
      <x:c r="E46" s="114"/>
      <x:c r="F46" s="114"/>
      <x:c r="G46" s="114"/>
      <x:c r="H46" s="114"/>
      <x:c r="I46" s="114"/>
      <x:c r="J46" s="114"/>
      <x:c r="K46" s="114"/>
      <x:c r="L46" s="114"/>
      <x:c r="M46" s="114"/>
      <x:c r="N46" s="114"/>
      <x:c r="O46" s="114"/>
      <x:c r="P46" s="114"/>
    </x:row>
    <x:row r="47">
      <x:c r="A47" s="86" t="str">
        <x:v>Harness defect</x:v>
      </x:c>
      <x:c r="B47" s="87" t="str">
        <x:v>Transition proof queried a nonexistent manuscript_id column; production table is keyed by held_item_id.</x:v>
      </x:c>
      <x:c r="C47" s="87" t="str">
        <x:v>Held Recovery proof harness</x:v>
      </x:c>
      <x:c r="D47" s="87" t="str">
        <x:v>Join transitions through held_recovery_queue_items; live-schema contract test.</x:v>
      </x:c>
      <x:c r="E47" s="114"/>
      <x:c r="F47" s="114"/>
      <x:c r="G47" s="114"/>
      <x:c r="H47" s="114"/>
      <x:c r="I47" s="114"/>
      <x:c r="J47" s="114"/>
      <x:c r="K47" s="114"/>
      <x:c r="L47" s="114"/>
      <x:c r="M47" s="114"/>
      <x:c r="N47" s="114"/>
      <x:c r="O47" s="114"/>
      <x:c r="P47" s="114"/>
    </x:row>
  </x:sheetData>
  <x:mergeCells>
    <x:mergeCell ref="A1:P1"/>
    <x:mergeCell ref="A2:P2"/>
    <x:mergeCell ref="A14:P14"/>
    <x:mergeCell ref="A23:P23"/>
    <x:mergeCell ref="A39:P39"/>
  </x:mergeCells>
  <x:pageMargins left="0.7" right="0.7" top="0.75" bottom="0.75" header="0.3" footer="0.3"/>
</x:worksheet>
</file>