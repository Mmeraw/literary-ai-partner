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xecutive Summary" sheetId="1" state="visible" r:id="rId1"/>
    <sheet xmlns:r="http://schemas.openxmlformats.org/officeDocument/2006/relationships" name="ChatGPT Summary" sheetId="2" state="visible" r:id="rId2"/>
    <sheet xmlns:r="http://schemas.openxmlformats.org/officeDocument/2006/relationships" name="CODEX Summary of ChatGPT" sheetId="3" state="visible" r:id="rId3"/>
    <sheet xmlns:r="http://schemas.openxmlformats.org/officeDocument/2006/relationships" name="ChatGPT Rebuttal" sheetId="4" state="visible" r:id="rId4"/>
    <sheet xmlns:r="http://schemas.openxmlformats.org/officeDocument/2006/relationships" name="CODEX Rebuttal" sheetId="5" state="visible" r:id="rId5"/>
    <sheet xmlns:r="http://schemas.openxmlformats.org/officeDocument/2006/relationships" name="Corrective Action Plan" sheetId="6" state="visible" r:id="rId6"/>
    <sheet xmlns:r="http://schemas.openxmlformats.org/officeDocument/2006/relationships" name="Phase-Pass Matrix" sheetId="7" state="visible" r:id="rId7"/>
    <sheet xmlns:r="http://schemas.openxmlformats.org/officeDocument/2006/relationships" name="Artifact Forensics" sheetId="8" state="visible" r:id="rId8"/>
    <sheet xmlns:r="http://schemas.openxmlformats.org/officeDocument/2006/relationships" name="Kickback &amp; Gate Audit" sheetId="9" state="visible" r:id="rId9"/>
    <sheet xmlns:r="http://schemas.openxmlformats.org/officeDocument/2006/relationships" name="Held Recovery &amp; Workbench" sheetId="10" state="visible" r:id="rId10"/>
    <sheet xmlns:r="http://schemas.openxmlformats.org/officeDocument/2006/relationships" name="Optimization Opportunities" sheetId="11" state="visible" r:id="rId11"/>
    <sheet xmlns:r="http://schemas.openxmlformats.org/officeDocument/2006/relationships" name="Evidence IDs" sheetId="12" state="visible" r:id="rId12"/>
    <sheet xmlns:r="http://schemas.openxmlformats.org/officeDocument/2006/relationships" name="Release Dashboard" sheetId="13" state="visible" r:id="rId13"/>
    <sheet xmlns:r="http://schemas.openxmlformats.org/officeDocument/2006/relationships" name="Causal Timeline" sheetId="14" state="visible" r:id="rId14"/>
    <sheet xmlns:r="http://schemas.openxmlformats.org/officeDocument/2006/relationships" name="Open Proof Gaps" sheetId="15" state="visible" r:id="rId15"/>
    <sheet xmlns:r="http://schemas.openxmlformats.org/officeDocument/2006/relationships" name="Pass2 Lineage Correction" sheetId="16" state="visible" r:id="rId16"/>
    <sheet xmlns:r="http://schemas.openxmlformats.org/officeDocument/2006/relationships" name="Diamonds Live 25d4192b" sheetId="17" state="visible" r:id="rId17"/>
  </sheets>
  <definedNames/>
</workbook>
</file>

<file path=xl/styles.xml><?xml version="1.0" encoding="utf-8"?>
<styleSheet xmlns="http://schemas.openxmlformats.org/spreadsheetml/2006/main">
  <numFmts count="2">
    <numFmt numFmtId="164" formatCode="yyyy\-mm\-dd\ hh:mm:ss"/>
    <numFmt numFmtId="165" formatCode="0.0%"/>
  </numFmts>
  <fonts count="30">
    <font>
      <name val="Carlito"/>
      <sz val="11"/>
    </font>
    <font>
      <name val="Carlito"/>
      <b val="1"/>
      <color rgb="FFE9DDBB"/>
      <sz val="18"/>
    </font>
    <font>
      <name val="Carlito"/>
      <i val="1"/>
      <color rgb="FF705719"/>
      <sz val="10"/>
    </font>
    <font>
      <name val="Carlito"/>
      <b val="1"/>
      <color rgb="FFFFFFFF"/>
      <sz val="9"/>
    </font>
    <font>
      <name val="Carlito"/>
      <color rgb="FF241B12"/>
      <sz val="9"/>
    </font>
    <font>
      <name val="Carlito"/>
      <b val="1"/>
      <color rgb="FF241B12"/>
      <sz val="11"/>
    </font>
    <font>
      <name val="Carlito"/>
      <b val="1"/>
      <color rgb="FF241B12"/>
      <sz val="12"/>
    </font>
    <font>
      <name val="Carlito"/>
      <color rgb="FF241B12"/>
      <sz val="11"/>
    </font>
    <font>
      <name val="Carlito"/>
      <color rgb="FF244E75"/>
      <sz val="11"/>
    </font>
    <font>
      <name val="Times New Roman"/>
      <sz val="12"/>
    </font>
    <font>
      <name val="Times New Roman"/>
      <b val="1"/>
      <sz val="12"/>
    </font>
    <font>
      <name val="Times New Roman"/>
      <b val="1"/>
      <sz val="13"/>
    </font>
    <font>
      <name val="Times New Roman"/>
      <b val="1"/>
      <sz val="18"/>
    </font>
    <font>
      <name val="Arial"/>
      <sz val="8"/>
    </font>
    <font>
      <name val="Arial Unicode MS"/>
      <sz val="10"/>
    </font>
    <font>
      <name val="Carlito"/>
      <b val="1"/>
      <sz val="11"/>
    </font>
    <font>
      <name val="Carlito"/>
      <b val="1"/>
      <sz val="13"/>
    </font>
    <font>
      <name val="Carlito"/>
      <i val="1"/>
      <sz val="11"/>
    </font>
    <font>
      <name val="Carlito"/>
      <b val="1"/>
      <sz val="18"/>
    </font>
    <font>
      <name val="Aptos"/>
      <color rgb="FF2E2522"/>
      <sz val="9"/>
    </font>
    <font>
      <name val="Aptos Display"/>
      <b val="1"/>
      <color rgb="FFFFFFFF"/>
      <sz val="18"/>
    </font>
    <font>
      <name val="Aptos"/>
      <b val="1"/>
      <color rgb="FFFFFFFF"/>
      <sz val="10"/>
    </font>
    <font>
      <name val="Aptos"/>
      <i val="1"/>
      <color rgb="FF4A342E"/>
      <sz val="10"/>
    </font>
    <font>
      <name val="Times New Roman"/>
      <sz val="12"/>
    </font>
    <font>
      <name val="Courier New"/>
      <sz val="10"/>
    </font>
    <font>
      <name val="Times New Roman"/>
      <b val="1"/>
      <sz val="12"/>
    </font>
    <font>
      <name val="Segoe UI Emoji"/>
      <sz val="12"/>
    </font>
    <font>
      <name val="Carlito"/>
      <b val="1"/>
      <color rgb="FFFFFFFF"/>
      <sz val="11"/>
    </font>
    <font>
      <name val="Carlito"/>
      <b val="1"/>
      <color rgb="FFFFFFFF"/>
      <sz val="16"/>
    </font>
    <font>
      <name val="Carlito"/>
      <i val="1"/>
      <color rgb="FF4A4038"/>
      <sz val="11"/>
    </font>
  </fonts>
  <fills count="18">
    <fill>
      <patternFill/>
    </fill>
    <fill>
      <patternFill patternType="gray125"/>
    </fill>
    <fill>
      <patternFill patternType="solid">
        <fgColor rgb="FF241B12"/>
      </patternFill>
    </fill>
    <fill>
      <patternFill patternType="solid">
        <fgColor rgb="FFF7F1E3"/>
      </patternFill>
    </fill>
    <fill>
      <patternFill patternType="solid">
        <fgColor rgb="FF705719"/>
      </patternFill>
    </fill>
    <fill>
      <patternFill patternType="solid">
        <fgColor rgb="FFE9DDBB"/>
      </patternFill>
    </fill>
    <fill>
      <patternFill patternType="solid">
        <fgColor rgb="FFE1ECF7"/>
      </patternFill>
    </fill>
    <fill>
      <patternFill patternType="solid">
        <fgColor rgb="FFFBF8F0"/>
      </patternFill>
    </fill>
    <fill>
      <patternFill patternType="solid">
        <fgColor rgb="FFFBF8F4"/>
      </patternFill>
    </fill>
    <fill>
      <patternFill patternType="solid">
        <fgColor rgb="FF5C2924"/>
      </patternFill>
    </fill>
    <fill>
      <patternFill patternType="solid">
        <fgColor rgb="FF7A3E35"/>
      </patternFill>
    </fill>
    <fill>
      <patternFill patternType="solid">
        <fgColor rgb="FFDDEBDD"/>
      </patternFill>
    </fill>
    <fill>
      <patternFill patternType="solid">
        <fgColor rgb="FFF4ECE6"/>
      </patternFill>
    </fill>
    <fill>
      <patternFill patternType="solid">
        <fgColor rgb="FFF6E8C3"/>
      </patternFill>
    </fill>
    <fill>
      <patternFill patternType="solid">
        <fgColor rgb="FFF2D8D5"/>
      </patternFill>
    </fill>
    <fill>
      <patternFill patternType="solid">
        <fgColor rgb="FF35201D"/>
      </patternFill>
    </fill>
    <fill>
      <patternFill patternType="solid">
        <fgColor rgb="FFF7F2E8"/>
      </patternFill>
    </fill>
    <fill>
      <patternFill patternType="solid">
        <fgColor rgb="FFFFF8E7"/>
      </patternFill>
    </fill>
  </fills>
  <borders count="25">
    <border/>
    <border>
      <right style="thin">
        <color rgb="FFE9DDBB"/>
      </right>
    </border>
    <border>
      <left style="thin">
        <color rgb="FFE9DDBB"/>
      </left>
      <right style="thin">
        <color rgb="FFE9DDBB"/>
      </right>
    </border>
    <border>
      <left style="thin">
        <color rgb="FFE9DDBB"/>
      </left>
    </border>
    <border>
      <bottom style="thin">
        <color rgb="FFDED7C7"/>
      </bottom>
    </border>
    <border>
      <top style="thin">
        <color rgb="FFDED7C7"/>
      </top>
      <bottom style="thin">
        <color rgb="FFDED7C7"/>
      </bottom>
    </border>
    <border>
      <top style="thin">
        <color rgb="FFDED7C7"/>
      </top>
    </border>
    <border>
      <bottom style="double">
        <color rgb="FFB08D2F"/>
      </bottom>
    </border>
    <border>
      <bottom style="thin">
        <color rgb="FFE9DDBB"/>
      </bottom>
    </border>
    <border>
      <top style="thin">
        <color rgb="FFE9DDBB"/>
      </top>
      <bottom style="thin">
        <color rgb="FFE9DDBB"/>
      </bottom>
    </border>
    <border>
      <top style="thin">
        <color rgb="FFE9DDBB"/>
      </top>
    </border>
    <border>
      <bottom style="thin">
        <color rgb="FFBFD1E3"/>
      </bottom>
    </border>
    <border>
      <top style="thin">
        <color rgb="FFBFD1E3"/>
      </top>
      <bottom style="thin">
        <color rgb="FFBFD1E3"/>
      </bottom>
    </border>
    <border>
      <top style="thin">
        <color rgb="FFBFD1E3"/>
      </top>
    </border>
    <border>
      <left style="thin">
        <color rgb="FFCBB8AA"/>
      </left>
      <right style="thin">
        <color rgb="FFCBB8AA"/>
      </right>
      <top style="thin">
        <color rgb="FFCBB8AA"/>
      </top>
      <bottom style="thin">
        <color rgb="FFCBB8AA"/>
      </bottom>
    </border>
    <border>
      <left style="thin">
        <color rgb="FFC9BDAA"/>
      </left>
      <right style="thin">
        <color rgb="FFC9BDAA"/>
      </right>
      <top style="thin">
        <color rgb="FFC9BDAA"/>
      </top>
      <bottom style="thin">
        <color rgb="FFC9BDAA"/>
      </bottom>
    </border>
    <border>
      <top style="thin">
        <color rgb="FFCBB8AA"/>
      </top>
    </border>
    <border>
      <right style="thin">
        <color rgb="FFCBB8AA"/>
      </right>
      <top style="thin">
        <color rgb="FFCBB8AA"/>
      </top>
    </border>
    <border>
      <top style="thin">
        <color rgb="FFCBB8AA"/>
      </top>
      <bottom style="thin">
        <color rgb="FFCBB8AA"/>
      </bottom>
    </border>
    <border>
      <right style="thin">
        <color rgb="FFCBB8AA"/>
      </right>
      <top style="thin">
        <color rgb="FFCBB8AA"/>
      </top>
      <bottom style="thin">
        <color rgb="FFCBB8AA"/>
      </bottom>
    </border>
    <border>
      <left style="thin">
        <color rgb="FFCBB8AA"/>
      </left>
    </border>
    <border>
      <right style="thin">
        <color rgb="FFCBB8AA"/>
      </right>
    </border>
    <border>
      <left style="thin">
        <color rgb="FFCBB8AA"/>
      </left>
      <bottom style="thin">
        <color rgb="FFCBB8AA"/>
      </bottom>
    </border>
    <border>
      <bottom style="thin">
        <color rgb="FFCBB8AA"/>
      </bottom>
    </border>
    <border>
      <right style="thin">
        <color rgb="FFCBB8AA"/>
      </right>
      <bottom style="thin">
        <color rgb="FFCBB8AA"/>
      </bottom>
    </border>
  </borders>
  <cellStyleXfs count="1">
    <xf numFmtId="0" fontId="0" fillId="0" borderId="0"/>
  </cellStyleXfs>
  <cellXfs count="101">
    <xf numFmtId="0" fontId="0" fillId="0" borderId="0" pivotButton="0" quotePrefix="0" xfId="0"/>
    <xf numFmtId="0" fontId="3" fillId="4" borderId="1" applyAlignment="1" pivotButton="0" quotePrefix="0" xfId="0">
      <alignment vertical="center" wrapText="1"/>
    </xf>
    <xf numFmtId="0" fontId="3" fillId="4" borderId="2" applyAlignment="1" pivotButton="0" quotePrefix="0" xfId="0">
      <alignment vertical="center" wrapText="1"/>
    </xf>
    <xf numFmtId="0" fontId="3" fillId="4" borderId="3" applyAlignment="1" pivotButton="0" quotePrefix="0" xfId="0">
      <alignment vertical="center" wrapText="1"/>
    </xf>
    <xf numFmtId="0" fontId="4" fillId="0" borderId="4" applyAlignment="1" pivotButton="0" quotePrefix="0" xfId="0">
      <alignment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9" fontId="4" fillId="0" borderId="5" applyAlignment="1" pivotButton="0" quotePrefix="0" xfId="0">
      <alignment vertical="top" wrapText="1"/>
    </xf>
    <xf numFmtId="9" fontId="4" fillId="0" borderId="6" applyAlignment="1" pivotButton="0" quotePrefix="0" xfId="0">
      <alignment vertical="top" wrapText="1"/>
    </xf>
    <xf numFmtId="1" fontId="4" fillId="0" borderId="5" applyAlignment="1" pivotButton="0" quotePrefix="0" xfId="0">
      <alignment vertical="top" wrapText="1"/>
    </xf>
    <xf numFmtId="1" fontId="4" fillId="0" borderId="6" applyAlignment="1" pivotButton="0" quotePrefix="0" xfId="0">
      <alignment vertical="top" wrapText="1"/>
    </xf>
    <xf numFmtId="164" fontId="4" fillId="0" borderId="5" applyAlignment="1" pivotButton="0" quotePrefix="0" xfId="0">
      <alignment vertical="top" wrapText="1"/>
    </xf>
    <xf numFmtId="164" fontId="4" fillId="0" borderId="6" applyAlignment="1" pivotButton="0" quotePrefix="0" xfId="0">
      <alignment vertical="top" wrapText="1"/>
    </xf>
    <xf numFmtId="0" fontId="6" fillId="3" borderId="0" applyAlignment="1" pivotButton="0" quotePrefix="0" xfId="0">
      <alignment horizontal="center" vertical="center" wrapText="1"/>
    </xf>
    <xf numFmtId="0" fontId="4" fillId="7" borderId="4" applyAlignment="1" pivotButton="0" quotePrefix="0" xfId="0">
      <alignment vertical="top" wrapText="1"/>
    </xf>
    <xf numFmtId="1" fontId="4" fillId="7" borderId="4" applyAlignment="1" pivotButton="0" quotePrefix="0" xfId="0">
      <alignment vertical="top" wrapText="1"/>
    </xf>
    <xf numFmtId="9" fontId="4" fillId="7" borderId="4" applyAlignment="1" pivotButton="0" quotePrefix="0" xfId="0">
      <alignment vertical="top" wrapText="1"/>
    </xf>
    <xf numFmtId="164" fontId="4" fillId="7" borderId="4" applyAlignment="1" pivotButton="0" quotePrefix="0" xfId="0">
      <alignment vertical="top" wrapText="1"/>
    </xf>
    <xf numFmtId="0" fontId="4" fillId="7" borderId="5" applyAlignment="1" pivotButton="0" quotePrefix="0" xfId="0">
      <alignment vertical="top" wrapText="1"/>
    </xf>
    <xf numFmtId="1" fontId="4" fillId="7" borderId="5" applyAlignment="1" pivotButton="0" quotePrefix="0" xfId="0">
      <alignment vertical="top" wrapText="1"/>
    </xf>
    <xf numFmtId="9" fontId="4" fillId="7" borderId="5" applyAlignment="1" pivotButton="0" quotePrefix="0" xfId="0">
      <alignment vertical="top" wrapText="1"/>
    </xf>
    <xf numFmtId="164" fontId="4" fillId="7" borderId="5" applyAlignment="1" pivotButton="0" quotePrefix="0" xfId="0">
      <alignment vertical="top" wrapText="1"/>
    </xf>
    <xf numFmtId="0" fontId="4" fillId="7" borderId="6" applyAlignment="1" pivotButton="0" quotePrefix="0" xfId="0">
      <alignment vertical="top" wrapText="1"/>
    </xf>
    <xf numFmtId="0" fontId="10" fillId="0" borderId="0" applyAlignment="1" pivotButton="0" quotePrefix="0" xfId="0">
      <alignment vertical="center"/>
    </xf>
    <xf numFmtId="0" fontId="9" fillId="0" borderId="0" applyAlignment="1" pivotButton="0" quotePrefix="0" xfId="0">
      <alignment vertical="center"/>
    </xf>
    <xf numFmtId="0" fontId="0" fillId="0" borderId="0" applyAlignment="1" pivotButton="0" quotePrefix="0" xfId="0">
      <alignment horizontal="left" vertical="center"/>
    </xf>
    <xf numFmtId="0" fontId="10" fillId="0" borderId="0" applyAlignment="1" pivotButton="0" quotePrefix="0" xfId="0">
      <alignment horizontal="left" vertical="center"/>
    </xf>
    <xf numFmtId="0" fontId="9" fillId="0" borderId="0" applyAlignment="1" pivotButton="0" quotePrefix="0" xfId="0">
      <alignment horizontal="left" vertical="center"/>
    </xf>
    <xf numFmtId="0" fontId="11" fillId="0" borderId="0" applyAlignment="1" pivotButton="0" quotePrefix="0" xfId="0">
      <alignment vertical="center"/>
    </xf>
    <xf numFmtId="0" fontId="10" fillId="0" borderId="0" applyAlignment="1" pivotButton="0" quotePrefix="0" xfId="0">
      <alignment horizontal="center" vertical="center" wrapText="1"/>
    </xf>
    <xf numFmtId="0" fontId="0" fillId="0" borderId="0" applyAlignment="1" pivotButton="0" quotePrefix="0" xfId="0">
      <alignment vertical="center" wrapText="1"/>
    </xf>
    <xf numFmtId="0" fontId="10" fillId="0" borderId="0" applyAlignment="1" pivotButton="0" quotePrefix="0" xfId="0">
      <alignment vertical="center" wrapText="1"/>
    </xf>
    <xf numFmtId="0" fontId="9" fillId="0" borderId="0" applyAlignment="1" pivotButton="0" quotePrefix="0" xfId="0">
      <alignment vertical="center" wrapText="1"/>
    </xf>
    <xf numFmtId="0" fontId="12" fillId="0" borderId="0" applyAlignment="1" pivotButton="0" quotePrefix="0" xfId="0">
      <alignment vertical="center"/>
    </xf>
    <xf numFmtId="0" fontId="13" fillId="0" borderId="0" applyAlignment="1" pivotButton="0" quotePrefix="0" xfId="0">
      <alignment horizontal="center" vertical="center"/>
    </xf>
    <xf numFmtId="18" fontId="0" fillId="0" borderId="0" pivotButton="0" quotePrefix="0" xfId="0"/>
    <xf numFmtId="0" fontId="15" fillId="0" borderId="0" pivotButton="0" quotePrefix="0" xfId="0"/>
    <xf numFmtId="0" fontId="16" fillId="0" borderId="0" applyAlignment="1" pivotButton="0" quotePrefix="0" xfId="0">
      <alignment vertical="center"/>
    </xf>
    <xf numFmtId="0" fontId="17" fillId="0" borderId="0" applyAlignment="1" pivotButton="0" quotePrefix="0" xfId="0">
      <alignment horizontal="left" vertical="center"/>
    </xf>
    <xf numFmtId="0" fontId="15" fillId="0" borderId="0" applyAlignment="1" pivotButton="0" quotePrefix="0" xfId="0">
      <alignment horizontal="left" vertical="center"/>
    </xf>
    <xf numFmtId="0" fontId="18" fillId="0" borderId="0" applyAlignment="1" pivotButton="0" quotePrefix="0" xfId="0">
      <alignment vertical="center"/>
    </xf>
    <xf numFmtId="0" fontId="15" fillId="0" borderId="0" applyAlignment="1" pivotButton="0" quotePrefix="0" xfId="0">
      <alignment horizontal="center" vertical="center" wrapText="1"/>
    </xf>
    <xf numFmtId="0" fontId="15" fillId="0" borderId="0" applyAlignment="1" pivotButton="0" quotePrefix="0" xfId="0">
      <alignment vertical="center" wrapText="1"/>
    </xf>
    <xf numFmtId="0" fontId="14" fillId="0" borderId="0" pivotButton="0" quotePrefix="0" xfId="0"/>
    <xf numFmtId="165" fontId="4" fillId="0" borderId="4" applyAlignment="1" pivotButton="0" quotePrefix="0" xfId="0">
      <alignment vertical="top" wrapText="1"/>
    </xf>
    <xf numFmtId="165" fontId="4" fillId="0" borderId="5" applyAlignment="1" pivotButton="0" quotePrefix="0" xfId="0">
      <alignment vertical="top" wrapText="1"/>
    </xf>
    <xf numFmtId="165" fontId="4" fillId="0" borderId="6" applyAlignment="1" pivotButton="0" quotePrefix="0" xfId="0">
      <alignment vertical="top" wrapText="1"/>
    </xf>
    <xf numFmtId="0" fontId="19" fillId="8" borderId="4" applyAlignment="1" pivotButton="0" quotePrefix="0" xfId="0">
      <alignment vertical="top" wrapText="1"/>
    </xf>
    <xf numFmtId="0" fontId="19" fillId="8" borderId="5" applyAlignment="1" pivotButton="0" quotePrefix="0" xfId="0">
      <alignment vertical="top" wrapText="1"/>
    </xf>
    <xf numFmtId="0" fontId="19" fillId="8" borderId="6" applyAlignment="1" pivotButton="0" quotePrefix="0" xfId="0">
      <alignment vertical="top" wrapText="1"/>
    </xf>
    <xf numFmtId="0" fontId="21" fillId="10" borderId="14" applyAlignment="1" pivotButton="0" quotePrefix="0" xfId="0">
      <alignment vertical="center" wrapText="1"/>
    </xf>
    <xf numFmtId="0" fontId="19" fillId="8" borderId="14" applyAlignment="1" pivotButton="0" quotePrefix="0" xfId="0">
      <alignment vertical="top" wrapText="1"/>
    </xf>
    <xf numFmtId="0" fontId="19" fillId="11" borderId="14" applyAlignment="1" pivotButton="0" quotePrefix="0" xfId="0">
      <alignment vertical="top" wrapText="1"/>
    </xf>
    <xf numFmtId="0" fontId="19" fillId="13" borderId="14" applyAlignment="1" pivotButton="0" quotePrefix="0" xfId="0">
      <alignment vertical="top" wrapText="1"/>
    </xf>
    <xf numFmtId="0" fontId="19" fillId="14" borderId="14" applyAlignment="1" pivotButton="0" quotePrefix="0" xfId="0">
      <alignment vertical="top" wrapText="1"/>
    </xf>
    <xf numFmtId="0" fontId="8" fillId="6" borderId="11" applyAlignment="1" pivotButton="0" quotePrefix="0" xfId="0">
      <alignment wrapText="1"/>
    </xf>
    <xf numFmtId="0" fontId="8" fillId="6" borderId="12" applyAlignment="1" pivotButton="0" quotePrefix="0" xfId="0">
      <alignment wrapText="1"/>
    </xf>
    <xf numFmtId="0" fontId="8" fillId="6" borderId="13" applyAlignment="1" pivotButton="0" quotePrefix="0" xfId="0">
      <alignment wrapText="1"/>
    </xf>
    <xf numFmtId="0" fontId="7" fillId="3" borderId="8" applyAlignment="1" pivotButton="0" quotePrefix="0" xfId="0">
      <alignment wrapText="1"/>
    </xf>
    <xf numFmtId="0" fontId="7" fillId="3" borderId="9" applyAlignment="1" pivotButton="0" quotePrefix="0" xfId="0">
      <alignment wrapText="1"/>
    </xf>
    <xf numFmtId="0" fontId="7" fillId="3" borderId="10" applyAlignment="1" pivotButton="0" quotePrefix="0" xfId="0">
      <alignment wrapText="1"/>
    </xf>
    <xf numFmtId="0" fontId="5" fillId="5" borderId="7"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wrapText="1"/>
    </xf>
    <xf numFmtId="0" fontId="20" fillId="9" borderId="0" applyAlignment="1" pivotButton="0" quotePrefix="0" xfId="0">
      <alignment vertical="center" wrapText="1"/>
    </xf>
    <xf numFmtId="0" fontId="22" fillId="12" borderId="0" applyAlignment="1" pivotButton="0" quotePrefix="0" xfId="0">
      <alignment vertical="center" wrapText="1"/>
    </xf>
    <xf numFmtId="0" fontId="21" fillId="10" borderId="14" applyAlignment="1" pivotButton="0" quotePrefix="0" xfId="0">
      <alignment vertical="center" wrapText="1"/>
    </xf>
    <xf numFmtId="0" fontId="19" fillId="8" borderId="14" applyAlignment="1" pivotButton="0" quotePrefix="0" xfId="0">
      <alignment vertical="top" wrapText="1"/>
    </xf>
    <xf numFmtId="0" fontId="0" fillId="15" borderId="0" pivotButton="0" quotePrefix="0" xfId="0"/>
    <xf numFmtId="0" fontId="27" fillId="15" borderId="0" pivotButton="0" quotePrefix="0" xfId="0"/>
    <xf numFmtId="0" fontId="27" fillId="15" borderId="0" applyAlignment="1" pivotButton="0" quotePrefix="0" xfId="0">
      <alignment wrapText="1"/>
    </xf>
    <xf numFmtId="0" fontId="27" fillId="15" borderId="0" applyAlignment="1" pivotButton="0" quotePrefix="0" xfId="0">
      <alignment horizontal="center" wrapText="1"/>
    </xf>
    <xf numFmtId="0" fontId="27" fillId="15" borderId="0" applyAlignment="1" pivotButton="0" quotePrefix="0" xfId="0">
      <alignment horizontal="center" vertical="center" wrapText="1"/>
    </xf>
    <xf numFmtId="0" fontId="28" fillId="15" borderId="0" applyAlignment="1" pivotButton="0" quotePrefix="0" xfId="0">
      <alignment horizontal="center" vertical="center" wrapText="1"/>
    </xf>
    <xf numFmtId="0" fontId="0" fillId="16" borderId="0" pivotButton="0" quotePrefix="0" xfId="0"/>
    <xf numFmtId="0" fontId="29" fillId="16" borderId="0" pivotButton="0" quotePrefix="0" xfId="0"/>
    <xf numFmtId="0" fontId="29" fillId="16" borderId="0" applyAlignment="1" pivotButton="0" quotePrefix="0" xfId="0">
      <alignment wrapText="1"/>
    </xf>
    <xf numFmtId="0" fontId="0" fillId="17" borderId="0" pivotButton="0" quotePrefix="0" xfId="0"/>
    <xf numFmtId="0" fontId="0" fillId="17" borderId="0" applyAlignment="1" pivotButton="0" quotePrefix="0" xfId="0">
      <alignment wrapText="1"/>
    </xf>
    <xf numFmtId="0" fontId="0" fillId="17"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7" fillId="15" borderId="15" applyAlignment="1" pivotButton="0" quotePrefix="0" xfId="0">
      <alignment horizontal="center" vertical="center" wrapText="1"/>
    </xf>
    <xf numFmtId="0" fontId="0" fillId="17" borderId="15" applyAlignment="1" pivotButton="0" quotePrefix="0" xfId="0">
      <alignment vertical="top" wrapText="1"/>
    </xf>
    <xf numFmtId="0" fontId="0" fillId="0" borderId="15" applyAlignment="1" pivotButton="0" quotePrefix="0" xfId="0">
      <alignment vertical="top" wrapText="1"/>
    </xf>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18" pivotButton="0" quotePrefix="0" xfId="0"/>
    <xf numFmtId="0" fontId="0" fillId="0" borderId="19" pivotButton="0" quotePrefix="0" xfId="0"/>
    <xf numFmtId="0" fontId="0" fillId="0" borderId="16" pivotButton="0" quotePrefix="0" xfId="0"/>
    <xf numFmtId="0" fontId="0" fillId="0" borderId="17" pivotButton="0" quotePrefix="0" xfId="0"/>
    <xf numFmtId="0" fontId="0" fillId="0" borderId="20" pivotButton="0" quotePrefix="0" xfId="0"/>
    <xf numFmtId="0" fontId="0" fillId="0" borderId="21" pivotButton="0" quotePrefix="0" xfId="0"/>
    <xf numFmtId="0" fontId="0" fillId="0" borderId="22" pivotButton="0" quotePrefix="0" xfId="0"/>
    <xf numFmtId="0" fontId="0" fillId="0" borderId="23" pivotButton="0" quotePrefix="0" xfId="0"/>
    <xf numFmtId="0" fontId="0" fillId="0" borderId="24" pivotButton="0" quotePrefix="0" xfId="0"/>
  </cellXfs>
  <cellStyles count="1">
    <cellStyle name="Normal" xfId="0"/>
  </cellStyles>
  <dxfs count="24">
    <dxf>
      <font>
        <b val="1"/>
        <color rgb="FF8A2D29"/>
      </font>
      <fill>
        <patternFill>
          <bgColor rgb="FFF7DEDC"/>
        </patternFill>
      </fill>
    </dxf>
    <dxf>
      <font>
        <b val="1"/>
        <color rgb="FF7A4E00"/>
      </font>
      <fill>
        <patternFill>
          <bgColor rgb="FFFFF1CF"/>
        </patternFill>
      </fill>
    </dxf>
    <dxf>
      <font>
        <b val="1"/>
        <color rgb="FF235A35"/>
      </font>
      <fill>
        <patternFill>
          <bgColor rgb="FFE4F2E8"/>
        </patternFill>
      </fill>
    </dxf>
    <dxf>
      <font>
        <b val="1"/>
        <color rgb="FF8A2D29"/>
      </font>
      <fill>
        <patternFill>
          <bgColor rgb="FFF7DEDC"/>
        </patternFill>
      </fill>
    </dxf>
    <dxf>
      <font>
        <b val="1"/>
        <color rgb="FF7A4E00"/>
      </font>
      <fill>
        <patternFill>
          <bgColor rgb="FFFFF1CF"/>
        </patternFill>
      </fill>
    </dxf>
    <dxf>
      <font>
        <b val="1"/>
        <color rgb="FF235A35"/>
      </font>
      <fill>
        <patternFill>
          <bgColor rgb="FFE4F2E8"/>
        </patternFill>
      </fill>
    </dxf>
    <dxf>
      <font>
        <b val="1"/>
        <color rgb="FF8A2D29"/>
      </font>
      <fill>
        <patternFill>
          <bgColor rgb="FFF7DEDC"/>
        </patternFill>
      </fill>
    </dxf>
    <dxf>
      <font>
        <b val="1"/>
        <color rgb="FF7A4E00"/>
      </font>
      <fill>
        <patternFill>
          <bgColor rgb="FFFFF1CF"/>
        </patternFill>
      </fill>
    </dxf>
    <dxf>
      <font>
        <b val="1"/>
        <color rgb="FF235A35"/>
      </font>
      <fill>
        <patternFill>
          <bgColor rgb="FFE4F2E8"/>
        </patternFill>
      </fill>
    </dxf>
    <dxf>
      <font>
        <color rgb="FF235A35"/>
      </font>
      <fill>
        <patternFill>
          <bgColor rgb="FFE4F2E8"/>
        </patternFill>
      </fill>
    </dxf>
    <dxf>
      <font>
        <color rgb="FF7A4E00"/>
      </font>
      <fill>
        <patternFill>
          <bgColor rgb="FFFFF1CF"/>
        </patternFill>
      </fill>
    </dxf>
    <dxf>
      <font>
        <color rgb="FF8A2D29"/>
      </font>
      <fill>
        <patternFill>
          <bgColor rgb="FFF7DEDC"/>
        </patternFill>
      </fill>
    </dxf>
    <dxf>
      <font>
        <b val="1"/>
        <color rgb="FF8A2D29"/>
      </font>
      <fill>
        <patternFill>
          <bgColor rgb="FFF7DEDC"/>
        </patternFill>
      </fill>
    </dxf>
    <dxf>
      <font>
        <b val="1"/>
        <color rgb="FF7A4E00"/>
      </font>
      <fill>
        <patternFill>
          <bgColor rgb="FFFFF1CF"/>
        </patternFill>
      </fill>
    </dxf>
    <dxf>
      <font>
        <b val="1"/>
        <color rgb="FF235A35"/>
      </font>
      <fill>
        <patternFill>
          <bgColor rgb="FFE4F2E8"/>
        </patternFill>
      </fill>
    </dxf>
    <dxf>
      <font>
        <color rgb="FF235A35"/>
      </font>
      <fill>
        <patternFill>
          <bgColor rgb="FFE4F2E8"/>
        </patternFill>
      </fill>
    </dxf>
    <dxf>
      <font>
        <color rgb="FF7A4E00"/>
      </font>
      <fill>
        <patternFill>
          <bgColor rgb="FFFFF1CF"/>
        </patternFill>
      </fill>
    </dxf>
    <dxf>
      <font>
        <color rgb="FF8A2D29"/>
      </font>
      <fill>
        <patternFill>
          <bgColor rgb="FFF7DEDC"/>
        </patternFill>
      </fill>
    </dxf>
    <dxf>
      <font>
        <color rgb="FF235A35"/>
      </font>
      <fill>
        <patternFill>
          <bgColor rgb="FFE4F2E8"/>
        </patternFill>
      </fill>
    </dxf>
    <dxf>
      <font>
        <color rgb="FF7A4E00"/>
      </font>
      <fill>
        <patternFill>
          <bgColor rgb="FFFFF1CF"/>
        </patternFill>
      </fill>
    </dxf>
    <dxf>
      <font>
        <color rgb="FF8A2D29"/>
      </font>
      <fill>
        <patternFill>
          <bgColor rgb="FFF7DEDC"/>
        </patternFill>
      </fill>
    </dxf>
    <dxf>
      <font>
        <b val="1"/>
        <color rgb="FF8A2D29"/>
      </font>
      <fill>
        <patternFill>
          <bgColor rgb="FFF7DEDC"/>
        </patternFill>
      </fill>
    </dxf>
    <dxf>
      <font>
        <b val="1"/>
        <color rgb="FF7A4E00"/>
      </font>
      <fill>
        <patternFill>
          <bgColor rgb="FFFFF1CF"/>
        </patternFill>
      </fill>
    </dxf>
    <dxf>
      <font>
        <b val="1"/>
        <color rgb="FF235A35"/>
      </font>
      <fill>
        <patternFill>
          <bgColor rgb="FFE4F2E8"/>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7"/>
  <sheetViews>
    <sheetView showGridLines="0" workbookViewId="0">
      <selection activeCell="A1" sqref="A1"/>
    </sheetView>
  </sheetViews>
  <sheetFormatPr baseColWidth="8" defaultRowHeight="13.80000019073486"/>
  <cols>
    <col width="29" customWidth="1" min="1" max="1"/>
    <col width="19" customWidth="1" min="2" max="2"/>
    <col width="22" customWidth="1" min="3" max="3"/>
    <col width="52" customWidth="1" min="4" max="4"/>
    <col width="19" customWidth="1" min="5" max="8"/>
  </cols>
  <sheetData>
    <row r="1" ht="34" customHeight="1">
      <c r="A1" s="62" t="inlineStr">
        <is>
          <t>Evaluate → Revise Forensics &amp; Authority Control</t>
        </is>
      </c>
    </row>
    <row r="2" ht="32.04999923706055" customHeight="1">
      <c r="A2" s="63" t="inlineStr">
        <is>
          <t>Derived evidence workbook. Repository registries and SIPOC/FIPOC contracts are the single source of truth. Updated 2026-07-20 through suppression-forensics PR #1356 and handoff-contract PR #1357.</t>
        </is>
      </c>
    </row>
    <row r="4" ht="24" customHeight="1">
      <c r="A4" s="61" t="inlineStr">
        <is>
          <t>Outcome</t>
        </is>
      </c>
      <c r="B4" s="85" t="n"/>
      <c r="C4" s="85" t="n"/>
      <c r="D4" s="85" t="n"/>
      <c r="E4" s="85" t="n"/>
      <c r="F4" s="85" t="n"/>
      <c r="G4" s="85" t="n"/>
      <c r="H4" s="85" t="n"/>
    </row>
    <row r="5" ht="34" customHeight="1">
      <c r="A5" s="1" t="inlineStr">
        <is>
          <t>Production</t>
        </is>
      </c>
      <c r="B5" s="2" t="inlineStr">
        <is>
          <t>Prior live evaluation</t>
        </is>
      </c>
      <c r="C5" s="2" t="inlineStr">
        <is>
          <t>Prior artifacts</t>
        </is>
      </c>
      <c r="D5" s="2" t="inlineStr">
        <is>
          <t>Criteria</t>
        </is>
      </c>
      <c r="E5" s="2" t="inlineStr">
        <is>
          <t>Canonical cards</t>
        </is>
      </c>
      <c r="F5" s="2" t="inlineStr">
        <is>
          <t>Workbench</t>
        </is>
      </c>
      <c r="G5" s="2" t="inlineStr">
        <is>
          <t>Held Recovery</t>
        </is>
      </c>
      <c r="H5" s="3" t="inlineStr">
        <is>
          <t>Current governance</t>
        </is>
      </c>
    </row>
    <row r="6" ht="34" customHeight="1">
      <c r="A6" s="13" t="inlineStr">
        <is>
          <t>PASS — 7e3b1eb</t>
        </is>
      </c>
      <c r="B6" s="13" t="inlineStr">
        <is>
          <t>PASS — 82/100</t>
        </is>
      </c>
      <c r="C6" s="13" t="n">
        <v>23</v>
      </c>
      <c r="D6" s="13" t="n">
        <v>13</v>
      </c>
      <c r="E6" s="13" t="n">
        <v>0</v>
      </c>
      <c r="F6" s="13" t="inlineStr">
        <is>
          <t>PASS — empty + author-safe</t>
        </is>
      </c>
      <c r="G6" s="13" t="inlineStr">
        <is>
          <t>UNPROVEN LIVE</t>
        </is>
      </c>
      <c r="H6" s="13" t="inlineStr">
        <is>
          <t>MERGED + LIVE — 7e3b1eb</t>
        </is>
      </c>
    </row>
    <row r="8" ht="24" customHeight="1">
      <c r="A8" s="61" t="inlineStr">
        <is>
          <t>Forensic KPIs</t>
        </is>
      </c>
      <c r="B8" s="85" t="n"/>
      <c r="C8" s="85" t="n"/>
      <c r="D8" s="85" t="n"/>
      <c r="E8" s="85" t="n"/>
      <c r="F8" s="85" t="n"/>
      <c r="G8" s="85" t="n"/>
      <c r="H8" s="85" t="n"/>
    </row>
    <row r="9" ht="34" customHeight="1">
      <c r="A9" s="1" t="inlineStr">
        <is>
          <t>Metric</t>
        </is>
      </c>
      <c r="B9" s="2" t="inlineStr">
        <is>
          <t>Value</t>
        </is>
      </c>
      <c r="C9" s="2" t="inlineStr">
        <is>
          <t>Threshold / target</t>
        </is>
      </c>
      <c r="D9" s="3" t="inlineStr">
        <is>
          <t>Interpretation</t>
        </is>
      </c>
    </row>
    <row r="10">
      <c r="A10" s="4" t="inlineStr">
        <is>
          <t>Prior artifact acceptability</t>
        </is>
      </c>
      <c r="B10" s="44" t="n">
        <v>0.81225</v>
      </c>
      <c r="C10" s="4" t="inlineStr">
        <is>
          <t>&gt;=85%</t>
        </is>
      </c>
      <c r="D10" s="47" t="inlineStr">
        <is>
          <t>Historical weighted contract/evidence fitness; not literary quality.</t>
        </is>
      </c>
    </row>
    <row r="11">
      <c r="A11" s="5" t="inlineStr">
        <is>
          <t>Prior hashed artifacts</t>
        </is>
      </c>
      <c r="B11" s="45" t="n">
        <v>0.8260869565217391</v>
      </c>
      <c r="C11" s="5" t="inlineStr">
        <is>
          <t>100% or explicit reason</t>
        </is>
      </c>
      <c r="D11" s="48" t="inlineStr">
        <is>
          <t>Historical lineage coverage across persisted artifacts.</t>
        </is>
      </c>
    </row>
    <row r="12">
      <c r="A12" s="5" t="inlineStr">
        <is>
          <t>Recommendation lineage coverage</t>
        </is>
      </c>
      <c r="B12" s="45" t="n">
        <v>1</v>
      </c>
      <c r="C12" s="5" t="inlineStr">
        <is>
          <t>100%</t>
        </is>
      </c>
      <c r="D12" s="48" t="inlineStr">
        <is>
          <t>Current contract: every authoritative source has exactly one disposition.</t>
        </is>
      </c>
    </row>
    <row r="13">
      <c r="A13" s="5" t="inlineStr">
        <is>
          <t>Non-admitted queue identity count</t>
        </is>
      </c>
      <c r="B13" s="45" t="n">
        <v>0</v>
      </c>
      <c r="C13" s="5" t="inlineStr">
        <is>
          <t>0</t>
        </is>
      </c>
      <c r="D13" s="48" t="inlineStr">
        <is>
          <t>Suppressed/informational recommendations never become active or Held work.</t>
        </is>
      </c>
    </row>
    <row r="14">
      <c r="A14" s="5" t="inlineStr">
        <is>
          <t>Raw diagnostic leakage count</t>
        </is>
      </c>
      <c r="B14" s="45" t="n">
        <v>0</v>
      </c>
      <c r="C14" s="5" t="inlineStr">
        <is>
          <t>0</t>
        </is>
      </c>
      <c r="D14" s="48" t="inlineStr">
        <is>
          <t>Author-safe mapper/audit contract; internal codes remain audit-only.</t>
        </is>
      </c>
    </row>
    <row r="15">
      <c r="A15" s="6" t="inlineStr">
        <is>
          <t>Live Held Recovery transitions</t>
        </is>
      </c>
      <c r="B15" s="46" t="n">
        <v>0</v>
      </c>
      <c r="C15" s="6" t="inlineStr">
        <is>
          <t>&gt;=1 for proof</t>
        </is>
      </c>
      <c r="D15" s="49" t="inlineStr">
        <is>
          <t>Still unproven live; do not claim reconstruction/readmission completion.</t>
        </is>
      </c>
    </row>
    <row r="16">
      <c r="A16" t="inlineStr">
        <is>
          <t>Diamonds Live 2026-07-21</t>
        </is>
      </c>
      <c r="B16" t="inlineStr">
        <is>
          <t>FAIL — Pass 3B lineage contract</t>
        </is>
      </c>
      <c r="C16" t="inlineStr">
        <is>
          <t>12 source recommendations orphaned</t>
        </is>
      </c>
      <c r="D16" t="inlineStr">
        <is>
          <t>0</t>
        </is>
      </c>
      <c r="E16" t="inlineStr">
        <is>
          <t>N/A — not reached</t>
        </is>
      </c>
      <c r="F16" t="inlineStr">
        <is>
          <t>N/A</t>
        </is>
      </c>
      <c r="G16" t="inlineStr">
        <is>
          <t>Kicked back once; failed again</t>
        </is>
      </c>
      <c r="H16" t="inlineStr">
        <is>
          <t>Prompt/template fix required before resume</t>
        </is>
      </c>
    </row>
    <row r="17" ht="24" customHeight="1">
      <c r="A17" s="61" t="inlineStr">
        <is>
          <t>Release assessment</t>
        </is>
      </c>
      <c r="B17" s="85" t="n"/>
      <c r="C17" s="85" t="n"/>
      <c r="D17" s="85" t="n"/>
      <c r="E17" s="85" t="n"/>
      <c r="F17" s="85" t="n"/>
      <c r="G17" s="85" t="n"/>
      <c r="H17" s="85" t="n"/>
    </row>
    <row r="18" ht="28" customHeight="1">
      <c r="A18" s="58" t="inlineStr">
        <is>
          <t>PR #1357 is merged and production health reports git_sha 7e3b1eb with HTTP 200; this deployment includes PR #1356.</t>
        </is>
      </c>
      <c r="B18" s="86" t="n"/>
      <c r="C18" s="86" t="n"/>
      <c r="D18" s="86" t="n"/>
      <c r="E18" s="86" t="n"/>
      <c r="F18" s="86" t="n"/>
      <c r="G18" s="86" t="n"/>
      <c r="H18" s="86" t="n"/>
    </row>
    <row r="19" ht="28" customHeight="1">
      <c r="A19" s="59" t="inlineStr">
        <is>
          <t>Evaluate certification preserves complete recommendation dispositions, recomputes suppression forensics from persisted lineage, and imposes no minimum queue size.</t>
        </is>
      </c>
      <c r="B19" s="87" t="n"/>
      <c r="C19" s="87" t="n"/>
      <c r="D19" s="87" t="n"/>
      <c r="E19" s="87" t="n"/>
      <c r="F19" s="87" t="n"/>
      <c r="G19" s="87" t="n"/>
      <c r="H19" s="87" t="n"/>
    </row>
    <row r="20" ht="28" customHeight="1">
      <c r="A20" s="59" t="inlineStr">
        <is>
          <t>Revise admits only canonical opportunities authorized by admitted dispositions; summaries, scores and renderers are not producers.</t>
        </is>
      </c>
      <c r="B20" s="87" t="n"/>
      <c r="C20" s="87" t="n"/>
      <c r="D20" s="87" t="n"/>
      <c r="E20" s="87" t="n"/>
      <c r="F20" s="87" t="n"/>
      <c r="G20" s="87" t="n"/>
      <c r="H20" s="87" t="n"/>
    </row>
    <row r="21" ht="28" customHeight="1">
      <c r="A21" s="60" t="inlineStr">
        <is>
          <t>Held diagnostics are projected as deduplicated author-safe explanations; the live Held Recovery causal chain remains unproven.</t>
        </is>
      </c>
      <c r="B21" s="88" t="n"/>
      <c r="C21" s="88" t="n"/>
      <c r="D21" s="88" t="n"/>
      <c r="E21" s="88" t="n"/>
      <c r="F21" s="88" t="n"/>
      <c r="G21" s="88" t="n"/>
      <c r="H21" s="88" t="n"/>
    </row>
    <row r="23" ht="24" customHeight="1">
      <c r="A23" s="61" t="inlineStr">
        <is>
          <t>Highest-value next moves</t>
        </is>
      </c>
      <c r="B23" s="85" t="n"/>
      <c r="C23" s="85" t="n"/>
      <c r="D23" s="85" t="n"/>
      <c r="E23" s="85" t="n"/>
      <c r="F23" s="85" t="n"/>
      <c r="G23" s="85" t="n"/>
      <c r="H23" s="85" t="n"/>
    </row>
    <row r="24" ht="30" customHeight="1">
      <c r="A24" s="55" t="inlineStr">
        <is>
          <t>1. Inspect the new suppression-forensics counters on a fresh production evaluation across all 13 criteria.</t>
        </is>
      </c>
      <c r="B24" s="89" t="n"/>
      <c r="C24" s="89" t="n"/>
      <c r="D24" s="89" t="n"/>
      <c r="E24" s="89" t="n"/>
      <c r="F24" s="89" t="n"/>
      <c r="G24" s="89" t="n"/>
      <c r="H24" s="89" t="n"/>
    </row>
    <row r="25" ht="30" customHeight="1">
      <c r="A25" s="56" t="inlineStr">
        <is>
          <t>2. Continue producer/consumer artifact reconciliation; pass12_handoff_v1 is corrected, remaining artifacts are pending.</t>
        </is>
      </c>
      <c r="B25" s="90" t="n"/>
      <c r="C25" s="90" t="n"/>
      <c r="D25" s="90" t="n"/>
      <c r="E25" s="90" t="n"/>
      <c r="F25" s="90" t="n"/>
      <c r="G25" s="90" t="n"/>
      <c r="H25" s="90" t="n"/>
    </row>
    <row r="26" ht="30" customHeight="1">
      <c r="A26" s="56" t="inlineStr">
        <is>
          <t>3. Validate dirty-data kickbacks at each owning process boundary with synthetic contamination proofs.</t>
        </is>
      </c>
      <c r="B26" s="90" t="n"/>
      <c r="C26" s="90" t="n"/>
      <c r="D26" s="90" t="n"/>
      <c r="E26" s="90" t="n"/>
      <c r="F26" s="90" t="n"/>
      <c r="G26" s="90" t="n"/>
      <c r="H26" s="90" t="n"/>
    </row>
    <row r="27" ht="30" customHeight="1">
      <c r="A27" s="57" t="inlineStr">
        <is>
          <t>4. Complete one deterministic Held Recovery production proof with cardinality, isolation, decision and reload evidence.</t>
        </is>
      </c>
      <c r="B27" s="91" t="n"/>
      <c r="C27" s="91" t="n"/>
      <c r="D27" s="91" t="n"/>
      <c r="E27" s="91" t="n"/>
      <c r="F27" s="91" t="n"/>
      <c r="G27" s="91" t="n"/>
      <c r="H27" s="91" t="n"/>
    </row>
  </sheetData>
  <mergeCells count="14">
    <mergeCell ref="A18:H18"/>
    <mergeCell ref="A4:H4"/>
    <mergeCell ref="A26:H26"/>
    <mergeCell ref="A21:H21"/>
    <mergeCell ref="A25:H25"/>
    <mergeCell ref="A20:H20"/>
    <mergeCell ref="A24:H24"/>
    <mergeCell ref="A2:H2"/>
    <mergeCell ref="A19:H19"/>
    <mergeCell ref="A1:H1"/>
    <mergeCell ref="A23:H23"/>
    <mergeCell ref="A27:H27"/>
    <mergeCell ref="A8:H8"/>
    <mergeCell ref="A17:H17"/>
  </mergeCells>
  <conditionalFormatting sqref="A6:H6">
    <cfRule type="containsText" priority="1" operator="containsText" dxfId="2" text="PASS"/>
    <cfRule type="containsText" priority="2" operator="containsText" dxfId="1" text="NEEDS"/>
    <cfRule type="containsText" priority="3" operator="containsText" dxfId="0" text="UNPROVEN"/>
  </conditionalFormatting>
  <conditionalFormatting sqref="B10:B12">
    <cfRule type="cellIs" priority="5" operator="lessThan" dxfId="11">
      <formula>0.7</formula>
    </cfRule>
    <cfRule type="cellIs" priority="6" operator="between" dxfId="10">
      <formula>0.7</formula>
      <formula>0.8499</formula>
    </cfRule>
    <cfRule type="cellIs" priority="7" operator="greaterThanOrEqual" dxfId="9">
      <formula>0.85</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31"/>
  <sheetViews>
    <sheetView workbookViewId="0">
      <selection activeCell="A1" sqref="A1"/>
    </sheetView>
  </sheetViews>
  <sheetFormatPr baseColWidth="8" defaultRowHeight="13.80000019073486"/>
  <sheetData>
    <row r="1" ht="15" customHeight="1">
      <c r="A1" s="23" t="inlineStr">
        <is>
          <t>Excel Worksheet Forensics of Evaluate and Revise (19 Jul 2026)</t>
        </is>
      </c>
    </row>
    <row r="2" ht="15.30000019073486" customHeight="1">
      <c r="A2" s="24" t="inlineStr">
        <is>
          <t>This is a strong production milestone. Based on what you've reported, I would consider the following items demonstrated:</t>
        </is>
      </c>
    </row>
    <row r="3">
      <c r="A3" s="25" t="n"/>
    </row>
    <row r="4" ht="15.30000019073486" customHeight="1">
      <c r="A4" s="26" t="inlineStr">
        <is>
          <t xml:space="preserve">Production deployment: PR #1348 merged and deployed as b14d54b5501f6611eabe1bd5eb21afdb10faac2b. </t>
        </is>
      </c>
    </row>
    <row r="5" ht="15.30000019073486" customHeight="1">
      <c r="A5" s="26" t="inlineStr">
        <is>
          <t xml:space="preserve">Evaluate pipeline: completed successfully (82/100) with 23 persisted artifacts. </t>
        </is>
      </c>
    </row>
    <row r="6" ht="15.30000019073486" customHeight="1">
      <c r="A6" s="26" t="inlineStr">
        <is>
          <t xml:space="preserve">Evaluate → Revise contract: a governed empty canonical ledger is now handled correctly instead of producing a 500. </t>
        </is>
      </c>
    </row>
    <row r="7" ht="15.30000019073486" customHeight="1">
      <c r="A7" s="26" t="inlineStr">
        <is>
          <t xml:space="preserve">Persistence and reload: the same ledger row is reused across reloads with no duplicate opportunity rows. </t>
        </is>
      </c>
    </row>
    <row r="8" ht="15.30000019073486" customHeight="1">
      <c r="A8" s="26" t="inlineStr">
        <is>
          <t xml:space="preserve">Operational hygiene: production alignment, migration parity, health endpoint, and CI are all green. </t>
        </is>
      </c>
    </row>
    <row r="9" ht="15.30000019073486" customHeight="1">
      <c r="A9" s="26" t="inlineStr">
        <is>
          <t xml:space="preserve">Cleanup: the temporary feature flag was removed after the proof, and the temporary credential derivatives were deleted with the proof-user password invalidated. </t>
        </is>
      </c>
    </row>
    <row r="10" ht="15.30000019073486" customHeight="1">
      <c r="A10" s="24" t="inlineStr">
        <is>
          <t>The distinction you're making about Held Recovery is also the right one. This proof validates the Evaluate → Revise path, but it does not validate the Held Recovery subsystem because the manuscript never generated held items. That's not a failure of the proof—it's simply outside the exercised path.</t>
        </is>
      </c>
    </row>
    <row r="11" ht="15.30000019073486" customHeight="1">
      <c r="A11" s="24" t="inlineStr">
        <is>
          <t>For the next proof stream, I'd keep the scope very narrow:</t>
        </is>
      </c>
    </row>
    <row r="12">
      <c r="A12" s="25" t="n"/>
    </row>
    <row r="13" ht="15.30000019073486" customHeight="1">
      <c r="A13" s="27" t="inlineStr">
        <is>
          <t xml:space="preserve">1. Intentionally produce one or more held items. </t>
        </is>
      </c>
    </row>
    <row r="14" ht="15.30000019073486" customHeight="1">
      <c r="A14" s="27" t="inlineStr">
        <is>
          <t xml:space="preserve">2. Verify reconstruction. </t>
        </is>
      </c>
    </row>
    <row r="15" ht="15.30000019073486" customHeight="1">
      <c r="A15" s="27" t="inlineStr">
        <is>
          <t xml:space="preserve">3. Verify readmission. </t>
        </is>
      </c>
    </row>
    <row r="16" ht="15.30000019073486" customHeight="1">
      <c r="A16" s="27" t="inlineStr">
        <is>
          <t xml:space="preserve">4. Verify Workbench presentation after readmission. </t>
        </is>
      </c>
    </row>
    <row r="17" ht="15.30000019073486" customHeight="1">
      <c r="A17" s="27" t="inlineStr">
        <is>
          <t xml:space="preserve">5. Verify persistence and reload. </t>
        </is>
      </c>
    </row>
    <row r="18" ht="15.30000019073486" customHeight="1">
      <c r="A18" s="27" t="inlineStr">
        <is>
          <t xml:space="preserve">6. Verify duplicate suppression across repeated reconstruction attempts. </t>
        </is>
      </c>
    </row>
    <row r="19" ht="15.30000019073486" customHeight="1">
      <c r="A19" s="24" t="inlineStr">
        <is>
          <t>That will give you two independent production proofs:</t>
        </is>
      </c>
    </row>
    <row r="20">
      <c r="A20" s="25" t="n"/>
    </row>
    <row r="21" ht="17.10000038146973" customHeight="1">
      <c r="A21" s="26" t="inlineStr">
        <is>
          <t xml:space="preserve">Evaluate → Revise ✅ </t>
        </is>
      </c>
    </row>
    <row r="22" ht="15.30000019073486" customHeight="1">
      <c r="A22" s="26" t="inlineStr">
        <is>
          <t xml:space="preserve">Held Recovery → Readmission → Workbench (next) </t>
        </is>
      </c>
    </row>
    <row r="23" ht="15.30000019073486" customHeight="1">
      <c r="A23" s="24" t="inlineStr">
        <is>
          <t>The forensic workbook also sounds well structured. Having the SIPOC/FIPOC matrix, artifact audit, gate audit, Workbench evidence, and a separate optimization register (with measured findings clearly separated from inferred opportunities) will make it much easier to prioritize reliability and performance work without mixing it into the functional proof.</t>
        </is>
      </c>
    </row>
    <row r="24" ht="15.30000019073486" customHeight="1">
      <c r="A24" s="24" t="inlineStr">
        <is>
          <t>did you examine the workbook? list the top ten gaps we need to address</t>
        </is>
      </c>
    </row>
    <row r="25" ht="15.30000019073486" customHeight="1">
      <c r="A25" s="24" t="inlineStr">
        <is>
          <t>Yes—I examined the workbook itself, not just the summary. Based on the evidence in the sheets, these are the top ten gaps I'd prioritize, in order.</t>
        </is>
      </c>
    </row>
    <row r="26">
      <c r="A26" s="25" t="n"/>
    </row>
    <row r="27" ht="15" customHeight="1">
      <c r="A27" s="26" t="inlineStr">
        <is>
          <t>1. Recommendation over-suppression (Highest Product Risk)</t>
        </is>
      </c>
    </row>
    <row r="28" ht="15.30000019073486" customHeight="1">
      <c r="A28" s="27" t="inlineStr">
        <is>
          <t xml:space="preserve">The production run scored 82/100 yet produced 0 actionable recommendations and 0 revision cards. That is safe, but likely too conservative to deliver value to users. This is also listed as a P0 in the optimization register. </t>
        </is>
      </c>
    </row>
    <row r="29">
      <c r="A29" s="25" t="n"/>
    </row>
    <row r="30" ht="15" customHeight="1">
      <c r="A30" s="26" t="inlineStr">
        <is>
          <t>2. Artifact-health schema drift</t>
        </is>
      </c>
    </row>
    <row r="31" ht="15.30000019073486" customHeight="1">
      <c r="A31" s="27" t="inlineStr">
        <is>
          <t xml:space="preserve">Several artifacts scored very poorly against their health schemas (for example, 0/95–50/95) even though the pipeline succeeded. That suggests the schemas and producers have drifted apart. Either the producer needs to emit the required fields or the health schema needs to reflect the true contract. </t>
        </is>
      </c>
    </row>
    <row r="32">
      <c r="A32" s="25" t="n"/>
    </row>
    <row r="33" ht="15" customHeight="1">
      <c r="A33" s="26" t="inlineStr">
        <is>
          <t>3. Pass 2 output-limit retry / token budgeting</t>
        </is>
      </c>
    </row>
    <row r="34" ht="15.30000019073486" customHeight="1">
      <c r="A34" s="27" t="inlineStr">
        <is>
          <t xml:space="preserve">One chunk exceeded the output limit, retried, and cost roughly 113 seconds. Better prompt budgeting or structured output could remove this retry without reducing quality. </t>
        </is>
      </c>
    </row>
    <row r="35">
      <c r="A35" s="25" t="n"/>
    </row>
    <row r="36" ht="15" customHeight="1">
      <c r="A36" s="26" t="inlineStr">
        <is>
          <t>4. Held Recovery remains unproven</t>
        </is>
      </c>
    </row>
    <row r="37" ht="15.30000019073486" customHeight="1">
      <c r="A37" s="27" t="inlineStr">
        <is>
          <t xml:space="preserve">This is correctly called out in the workbook. None of the reconstruction/readmission logic has yet been exercised in production because no held items were produced. </t>
        </is>
      </c>
    </row>
    <row r="38">
      <c r="A38" s="25" t="n"/>
    </row>
    <row r="39" ht="15" customHeight="1">
      <c r="A39" s="26" t="inlineStr">
        <is>
          <t>5. Seed artifact completeness</t>
        </is>
      </c>
    </row>
    <row r="40" ht="15.30000019073486" customHeight="1">
      <c r="A40" s="27" t="inlineStr">
        <is>
          <t xml:space="preserve">The Phase 0 seed artifacts are missing expected entity, alias, relationship, strengths, and risk fields. If those fields are truly required downstream, the producers should emit them; if not, the health contract should change. </t>
        </is>
      </c>
    </row>
    <row r="41">
      <c r="A41" s="25" t="n"/>
    </row>
    <row r="42" ht="15" customHeight="1">
      <c r="A42" s="26" t="inlineStr">
        <is>
          <t>6. Missing source hashes on persisted artifacts</t>
        </is>
      </c>
    </row>
    <row r="43" ht="15.30000019073486" customHeight="1">
      <c r="A43" s="27" t="inlineStr">
        <is>
          <t xml:space="preserve">The workbook notes that some persisted records (for example, the full-context story ledger) lack source_hash. That weakens provenance, replay, and forensic auditing. </t>
        </is>
      </c>
    </row>
    <row r="44">
      <c r="A44" s="25" t="n"/>
    </row>
    <row r="45" ht="15" customHeight="1">
      <c r="A45" s="26" t="inlineStr">
        <is>
          <t>7. Routing/cache artifact quality</t>
        </is>
      </c>
    </row>
    <row r="46" ht="15.30000019073486" customHeight="1">
      <c r="A46" s="27" t="inlineStr">
        <is>
          <t xml:space="preserve">Phase 1A completed successfully but still reports routing/cache health-schema drift. This isn't breaking execution today, but it's another indicator that the contracts and emitted artifacts are diverging. </t>
        </is>
      </c>
    </row>
    <row r="47">
      <c r="A47" s="25" t="n"/>
    </row>
    <row r="48" ht="15" customHeight="1">
      <c r="A48" s="26" t="inlineStr">
        <is>
          <t>8. Pass 2 handoff health</t>
        </is>
      </c>
    </row>
    <row r="49" ht="15.30000019073486" customHeight="1">
      <c r="A49" s="27" t="inlineStr">
        <is>
          <t xml:space="preserve">The Phase 2 handoff is marked "Needs Hardening," with the workbook noting handoff health 0/95 despite successful processing. That deserves investigation because handoffs are long-term integration boundaries. </t>
        </is>
      </c>
    </row>
    <row r="50">
      <c r="A50" s="25" t="n"/>
    </row>
    <row r="51" ht="15" customHeight="1">
      <c r="A51" s="26" t="inlineStr">
        <is>
          <t>9. Evidence coverage of dirty-path scenarios</t>
        </is>
      </c>
    </row>
    <row r="52" ht="15.30000019073486" customHeight="1">
      <c r="A52" s="27" t="inlineStr">
        <is>
          <t xml:space="preserve">The gate audit is explicit that production exercised only clean paths; malformed or missing payloads remain covered primarily by characterization tests rather than live production evidence. That's appropriate for production, but expanding synthetic proof coverage would strengthen confidence. </t>
        </is>
      </c>
    </row>
    <row r="53">
      <c r="A53" s="25" t="n"/>
    </row>
    <row r="54" ht="15" customHeight="1">
      <c r="A54" s="26" t="inlineStr">
        <is>
          <t>10. Latency instrumentation and optimization</t>
        </is>
      </c>
    </row>
    <row r="55" ht="15.30000019073486" customHeight="1">
      <c r="A55" s="27" t="inlineStr">
        <is>
          <t xml:space="preserve">The workbook identifies several latency opportunities (especially around retries and orchestration). I'd add richer timing telemetry at phase/pass boundaries before optimizing further so future improvements are driven by measurements rather than anecdotes. </t>
        </is>
      </c>
    </row>
    <row r="57" ht="15.89999961853027" customHeight="1">
      <c r="A57" s="28" t="inlineStr">
        <is>
          <t>What impressed me most</t>
        </is>
      </c>
    </row>
    <row r="58" ht="15.30000019073486" customHeight="1">
      <c r="A58" s="24" t="inlineStr">
        <is>
          <t>Two things stand out as significant improvements:</t>
        </is>
      </c>
    </row>
    <row r="59">
      <c r="A59" s="25" t="n"/>
    </row>
    <row r="60" ht="15.30000019073486" customHeight="1">
      <c r="A60" s="27" t="inlineStr">
        <is>
          <t xml:space="preserve">The empty canonical ledger is now treated as valid authority instead of causing a 500. That's a semantic contract fix, not just a bug fix. </t>
        </is>
      </c>
    </row>
    <row r="61" ht="15.30000019073486" customHeight="1">
      <c r="A61" s="27" t="inlineStr">
        <is>
          <t xml:space="preserve">The workbook clearly separates production-proven behavior from unproven capabilities (especially Held Recovery), which makes the evidence much more credible. </t>
        </is>
      </c>
    </row>
    <row r="62" ht="15.89999961853027" customHeight="1">
      <c r="A62" s="28" t="inlineStr">
        <is>
          <t>One suggestion for the workbook itself</t>
        </is>
      </c>
    </row>
    <row r="63" ht="15.30000019073486" customHeight="1">
      <c r="A63" s="24" t="inlineStr">
        <is>
          <t>I'd add an eighth sheet titled something like "Release Blockers &amp; Readiness" that classifies every open issue into three categories:</t>
        </is>
      </c>
    </row>
    <row r="64">
      <c r="A64" s="25" t="n"/>
    </row>
    <row r="65" ht="15.30000019073486" customHeight="1">
      <c r="A65" s="26" t="inlineStr">
        <is>
          <t xml:space="preserve">Release blocker (must fix before production) </t>
        </is>
      </c>
    </row>
    <row r="66" ht="15.30000019073486" customHeight="1">
      <c r="A66" s="26" t="inlineStr">
        <is>
          <t xml:space="preserve">High-value improvement (recommended, but doesn't block release) </t>
        </is>
      </c>
    </row>
    <row r="67" ht="15.30000019073486" customHeight="1">
      <c r="A67" s="26" t="inlineStr">
        <is>
          <t xml:space="preserve">Technical debt / optimization (future work) </t>
        </is>
      </c>
    </row>
    <row r="68" ht="15.30000019073486" customHeight="1">
      <c r="A68" s="24" t="inlineStr">
        <is>
          <t>Right now the optimization register is useful, but it mixes reliability, latency, product quality, and proof completeness. Separating those into release impact categories would make prioritization much easier for future planning.</t>
        </is>
      </c>
    </row>
    <row r="69" ht="15.30000019073486" customHeight="1">
      <c r="A69" s="24" t="inlineStr">
        <is>
          <t>are there more than 10 opportunities for improvement? if so, list them all in order of importance, top to bottom, and we will tackle them one by one</t>
        </is>
      </c>
    </row>
    <row r="70" ht="15.30000019073486" customHeight="1">
      <c r="A70" s="24" t="inlineStr">
        <is>
          <t>Yes. There are considerably more than ten. Looking across the forensic workbook, the production proof, and the optimization register, I'd prioritize them like this.</t>
        </is>
      </c>
    </row>
    <row r="71" ht="30" customHeight="1">
      <c r="A71" s="29" t="inlineStr">
        <is>
          <t>Priority</t>
        </is>
      </c>
      <c r="B71" s="29" t="inlineStr">
        <is>
          <t>Opportunity</t>
        </is>
      </c>
      <c r="C71" s="29" t="inlineStr">
        <is>
          <t>Why it matters</t>
        </is>
      </c>
    </row>
    <row r="72" ht="396" customHeight="1">
      <c r="A72" s="31" t="n">
        <v>1</v>
      </c>
      <c r="B72" s="31" t="inlineStr">
        <is>
          <t>Recommendation over-suppression</t>
        </is>
      </c>
      <c r="C72" s="32" t="inlineStr">
        <is>
          <t>The system produced an 82/100 evaluation with zero actionable revision opportunities. That's safe, but it significantly reduces user value and likely indicates thresholds or producer behavior that are too conservative.</t>
        </is>
      </c>
    </row>
    <row r="73" ht="351.8999938964844" customHeight="1">
      <c r="A73" s="31" t="n">
        <v>2</v>
      </c>
      <c r="B73" s="31" t="inlineStr">
        <is>
          <t>Complete the Held Recovery production proof</t>
        </is>
      </c>
      <c r="C73" s="32" t="inlineStr">
        <is>
          <t>This is the largest remaining unproven subsystem. Until reconstruction, readmission, persistence, reload, and Workbench behavior are demonstrated, the architecture isn't fully production-proven.</t>
        </is>
      </c>
    </row>
    <row r="74" ht="244.8000030517578" customHeight="1">
      <c r="A74" s="31" t="n">
        <v>3</v>
      </c>
      <c r="B74" s="31" t="inlineStr">
        <is>
          <t>Artifact-health schema alignment</t>
        </is>
      </c>
      <c r="C74" s="32" t="inlineStr">
        <is>
          <t>Several artifacts passed the pipeline but failed or scored poorly against their own health contracts. Producers and schemas should agree.</t>
        </is>
      </c>
    </row>
    <row r="75" ht="306" customHeight="1">
      <c r="A75" s="31" t="n">
        <v>4</v>
      </c>
      <c r="B75" s="31" t="inlineStr">
        <is>
          <t>Pass 2 / Pass 3 latency reduction</t>
        </is>
      </c>
      <c r="C75" s="32" t="inlineStr">
        <is>
          <t>The workbook identifies expensive retries and output-limit retries. Eliminating unnecessary retries reduces cost and improves user experience without changing quality.</t>
        </is>
      </c>
    </row>
    <row r="76" ht="214.1999969482422" customHeight="1">
      <c r="A76" s="31" t="n">
        <v>5</v>
      </c>
      <c r="B76" s="31" t="inlineStr">
        <is>
          <t>Seed artifact enrichment</t>
        </is>
      </c>
      <c r="C76" s="32" t="inlineStr">
        <is>
          <t>Missing aliases, relationships, entity metadata, and other seed fields weaken downstream reasoning and diagnostics.</t>
        </is>
      </c>
    </row>
    <row r="77" ht="260.1000061035156" customHeight="1">
      <c r="A77" s="31" t="n">
        <v>6</v>
      </c>
      <c r="B77" s="31" t="inlineStr">
        <is>
          <t>Persist complete provenance</t>
        </is>
      </c>
      <c r="C77" s="32" t="inlineStr">
        <is>
          <t>Ensure every persisted artifact carries hashes, lineage, version, and provenance consistently for replay and forensic confidence.</t>
        </is>
      </c>
    </row>
    <row r="78" ht="260.1000061035156" customHeight="1">
      <c r="A78" s="31" t="n">
        <v>7</v>
      </c>
      <c r="B78" s="31" t="inlineStr">
        <is>
          <t>Strengthen producer contracts</t>
        </is>
      </c>
      <c r="C78" s="32" t="inlineStr">
        <is>
          <t>Several producers emit minimally valid artifacts instead of fully governed artifacts. Tightening contracts reduces downstream ambiguity.</t>
        </is>
      </c>
    </row>
    <row r="79" ht="260.1000061035156" customHeight="1">
      <c r="A79" s="31" t="n">
        <v>8</v>
      </c>
      <c r="B79" s="31" t="inlineStr">
        <is>
          <t>Pass handoff quality</t>
        </is>
      </c>
      <c r="C79" s="32" t="inlineStr">
        <is>
          <t>Improve Phase→Phase handoffs so intermediate artifacts consistently satisfy downstream expectations rather than relying on repair logic.</t>
        </is>
      </c>
    </row>
    <row r="80" ht="214.1999969482422" customHeight="1">
      <c r="A80" s="31" t="n">
        <v>9</v>
      </c>
      <c r="B80" s="31" t="inlineStr">
        <is>
          <t>Recommendation quality, not quantity</t>
        </is>
      </c>
      <c r="C80" s="32" t="inlineStr">
        <is>
          <t>When opportunities are emitted, improve specificity, mechanism, evidence, and reader impact—not simply increase counts.</t>
        </is>
      </c>
    </row>
    <row r="81" ht="244.8000030517578" customHeight="1">
      <c r="A81" s="31" t="n">
        <v>10</v>
      </c>
      <c r="B81" s="31" t="inlineStr">
        <is>
          <t>Latency instrumentation</t>
        </is>
      </c>
      <c r="C81" s="32" t="inlineStr">
        <is>
          <t>Expand timing telemetry around passes, retries, LLM calls, persistence, and gates so future optimization is evidence-driven.</t>
        </is>
      </c>
    </row>
    <row r="82" ht="183.6000061035156" customHeight="1">
      <c r="A82" s="31" t="n">
        <v>11</v>
      </c>
      <c r="B82" s="31" t="inlineStr">
        <is>
          <t>Retry policy refinement</t>
        </is>
      </c>
      <c r="C82" s="32" t="inlineStr">
        <is>
          <t>Distinguish transient failures from deterministic validation failures to avoid unnecessary model calls.</t>
        </is>
      </c>
    </row>
    <row r="83" ht="198.8999938964844" customHeight="1">
      <c r="A83" s="31" t="n">
        <v>12</v>
      </c>
      <c r="B83" s="31" t="inlineStr">
        <is>
          <t>Artifact normalization</t>
        </is>
      </c>
      <c r="C83" s="32" t="inlineStr">
        <is>
          <t>Reduce multiple representations of equivalent data and make canonical artifacts the only authority wherever possible.</t>
        </is>
      </c>
    </row>
    <row r="84" ht="260.1000061035156" customHeight="1">
      <c r="A84" s="31" t="n">
        <v>13</v>
      </c>
      <c r="B84" s="31" t="inlineStr">
        <is>
          <t>Gate precision</t>
        </is>
      </c>
      <c r="C84" s="32" t="inlineStr">
        <is>
          <t>Reduce false positives while preserving fail-closed behavior. Continue distinguishing "empty but valid" from "missing or malformed."</t>
        </is>
      </c>
    </row>
    <row r="85" ht="153" customHeight="1">
      <c r="A85" s="31" t="n">
        <v>14</v>
      </c>
      <c r="B85" s="31" t="inlineStr">
        <is>
          <t>Projection simplification</t>
        </is>
      </c>
      <c r="C85" s="32" t="inlineStr">
        <is>
          <t>Remove duplicated transformation logic between Evaluate artifacts and Revise projection.</t>
        </is>
      </c>
    </row>
    <row r="86" ht="168.3000030517578" customHeight="1">
      <c r="A86" s="31" t="n">
        <v>15</v>
      </c>
      <c r="B86" s="31" t="inlineStr">
        <is>
          <t>Replay determinism</t>
        </is>
      </c>
      <c r="C86" s="32" t="inlineStr">
        <is>
          <t>Strengthen guarantees that replaying the same evaluation produces identical artifacts and identities.</t>
        </is>
      </c>
    </row>
    <row r="87" ht="153" customHeight="1">
      <c r="A87" s="31" t="n">
        <v>16</v>
      </c>
      <c r="B87" s="31" t="inlineStr">
        <is>
          <t>Queue performance</t>
        </is>
      </c>
      <c r="C87" s="32" t="inlineStr">
        <is>
          <t>Optimize Workbench hydration, partitioning, and reload for larger opportunity sets.</t>
        </is>
      </c>
    </row>
    <row r="88" ht="275.3999938964844" customHeight="1">
      <c r="A88" s="31" t="n">
        <v>17</v>
      </c>
      <c r="B88" s="31" t="inlineStr">
        <is>
          <t>Diagnostic visibility</t>
        </is>
      </c>
      <c r="C88" s="32" t="inlineStr">
        <is>
          <t>Surface clearer operational diagnostics so production failures classify immediately (validation vs. model vs. persistence vs. orchestration).</t>
        </is>
      </c>
    </row>
    <row r="89" ht="153" customHeight="1">
      <c r="A89" s="31" t="n">
        <v>18</v>
      </c>
      <c r="B89" s="31" t="inlineStr">
        <is>
          <t>Model output efficiency</t>
        </is>
      </c>
      <c r="C89" s="32" t="inlineStr">
        <is>
          <t>Reduce verbosity where it increases latency or token cost without improving evaluation quality.</t>
        </is>
      </c>
    </row>
    <row r="90" ht="275.3999938964844" customHeight="1">
      <c r="A90" s="31" t="n">
        <v>19</v>
      </c>
      <c r="B90" s="31" t="inlineStr">
        <is>
          <t>CI resiliency</t>
        </is>
      </c>
      <c r="C90" s="32" t="inlineStr">
        <is>
          <t>You've already improved GitHub 503 handling; continue hardening CI against transient infrastructure failures while keeping deterministic failures strict.</t>
        </is>
      </c>
    </row>
    <row r="91" ht="229.5" customHeight="1">
      <c r="A91" s="31" t="n">
        <v>20</v>
      </c>
      <c r="B91" s="31" t="inlineStr">
        <is>
          <t>Operational dashboards</t>
        </is>
      </c>
      <c r="C91" s="32" t="inlineStr">
        <is>
          <t>Add production health metrics for artifact health, gate outcomes, retries, latency, and recommendation density over time.</t>
        </is>
      </c>
    </row>
    <row r="92" ht="22.79999923706055" customHeight="1">
      <c r="A92" s="33" t="inlineStr">
        <is>
          <t>My recommended order</t>
        </is>
      </c>
    </row>
    <row r="93" ht="15.30000019073486" customHeight="1">
      <c r="A93" s="24" t="inlineStr">
        <is>
          <t>I would tackle them in this sequence:</t>
        </is>
      </c>
    </row>
    <row r="94" ht="15.89999961853027" customHeight="1">
      <c r="A94" s="28" t="inlineStr">
        <is>
          <t>Phase A — Product correctness</t>
        </is>
      </c>
    </row>
    <row r="95">
      <c r="A95" s="25" t="n"/>
    </row>
    <row r="96" ht="15.30000019073486" customHeight="1">
      <c r="A96" s="27" t="inlineStr">
        <is>
          <t xml:space="preserve">1. Recommendation over-suppression </t>
        </is>
      </c>
    </row>
    <row r="97" ht="15.30000019073486" customHeight="1">
      <c r="A97" s="27" t="inlineStr">
        <is>
          <t xml:space="preserve">2. Held Recovery proof </t>
        </is>
      </c>
    </row>
    <row r="98" ht="15.30000019073486" customHeight="1">
      <c r="A98" s="27" t="inlineStr">
        <is>
          <t xml:space="preserve">3. Artifact-health/schema alignment </t>
        </is>
      </c>
    </row>
    <row r="99" ht="15.30000019073486" customHeight="1">
      <c r="A99" s="27" t="inlineStr">
        <is>
          <t xml:space="preserve">4. Producer contracts </t>
        </is>
      </c>
    </row>
    <row r="100" ht="15.30000019073486" customHeight="1">
      <c r="A100" s="27" t="inlineStr">
        <is>
          <t xml:space="preserve">5. Pass handoff quality </t>
        </is>
      </c>
    </row>
    <row r="101" ht="15.89999961853027" customHeight="1">
      <c r="A101" s="28" t="inlineStr">
        <is>
          <t>Phase B — User value</t>
        </is>
      </c>
    </row>
    <row r="102">
      <c r="A102" s="25" t="n"/>
    </row>
    <row r="103" ht="15.30000019073486" customHeight="1">
      <c r="A103" s="27" t="inlineStr">
        <is>
          <t xml:space="preserve">6. Recommendation quality </t>
        </is>
      </c>
    </row>
    <row r="104" ht="15.30000019073486" customHeight="1">
      <c r="A104" s="27" t="inlineStr">
        <is>
          <t xml:space="preserve">7. Seed artifact enrichment </t>
        </is>
      </c>
    </row>
    <row r="105" ht="15.30000019073486" customHeight="1">
      <c r="A105" s="27" t="inlineStr">
        <is>
          <t xml:space="preserve">8. Projection simplification </t>
        </is>
      </c>
    </row>
    <row r="106" ht="15.30000019073486" customHeight="1">
      <c r="A106" s="27" t="inlineStr">
        <is>
          <t xml:space="preserve">9. Queue performance </t>
        </is>
      </c>
    </row>
    <row r="107" ht="15.89999961853027" customHeight="1">
      <c r="A107" s="28" t="inlineStr">
        <is>
          <t>Phase C — Reliability</t>
        </is>
      </c>
    </row>
    <row r="108">
      <c r="A108" s="25" t="n"/>
    </row>
    <row r="109" ht="15.30000019073486" customHeight="1">
      <c r="A109" s="27" t="inlineStr">
        <is>
          <t xml:space="preserve">10. Provenance </t>
        </is>
      </c>
    </row>
    <row r="110" ht="15.30000019073486" customHeight="1">
      <c r="A110" s="27" t="inlineStr">
        <is>
          <t xml:space="preserve">11. Replay determinism </t>
        </is>
      </c>
    </row>
    <row r="111" ht="15.30000019073486" customHeight="1">
      <c r="A111" s="27" t="inlineStr">
        <is>
          <t xml:space="preserve">12. Gate precision </t>
        </is>
      </c>
    </row>
    <row r="112" ht="15.30000019073486" customHeight="1">
      <c r="A112" s="27" t="inlineStr">
        <is>
          <t xml:space="preserve">13. Retry policy </t>
        </is>
      </c>
    </row>
    <row r="113" ht="15.30000019073486" customHeight="1">
      <c r="A113" s="27" t="inlineStr">
        <is>
          <t xml:space="preserve">14. Diagnostic visibility </t>
        </is>
      </c>
    </row>
    <row r="114" ht="15.89999961853027" customHeight="1">
      <c r="A114" s="28" t="inlineStr">
        <is>
          <t>Phase D — Performance</t>
        </is>
      </c>
    </row>
    <row r="115">
      <c r="A115" s="25" t="n"/>
    </row>
    <row r="116" ht="15.30000019073486" customHeight="1">
      <c r="A116" s="27" t="inlineStr">
        <is>
          <t xml:space="preserve">15. Pass latency </t>
        </is>
      </c>
    </row>
    <row r="117" ht="15.30000019073486" customHeight="1">
      <c r="A117" s="27" t="inlineStr">
        <is>
          <t xml:space="preserve">16. Model efficiency </t>
        </is>
      </c>
    </row>
    <row r="118" ht="15.30000019073486" customHeight="1">
      <c r="A118" s="27" t="inlineStr">
        <is>
          <t xml:space="preserve">17. Instrumentation </t>
        </is>
      </c>
    </row>
    <row r="119" ht="15.30000019073486" customHeight="1">
      <c r="A119" s="27" t="inlineStr">
        <is>
          <t xml:space="preserve">18. CI resiliency </t>
        </is>
      </c>
    </row>
    <row r="120" ht="15.30000019073486" customHeight="1">
      <c r="A120" s="27" t="inlineStr">
        <is>
          <t xml:space="preserve">19. Dashboards </t>
        </is>
      </c>
    </row>
    <row r="121" ht="15.30000019073486" customHeight="1">
      <c r="A121" s="27" t="inlineStr">
        <is>
          <t xml:space="preserve">20. Remaining optimization items </t>
        </is>
      </c>
    </row>
    <row r="124" ht="15.89999961853027" customHeight="1">
      <c r="A124" s="28" t="inlineStr">
        <is>
          <t>If I had to choose one initiative that would most improve RevisionGrade for customers, it would be:</t>
        </is>
      </c>
    </row>
    <row r="125" ht="15" customHeight="1">
      <c r="A125" s="23" t="inlineStr">
        <is>
          <t>#1 — Recommendation over-suppression.</t>
        </is>
      </c>
    </row>
    <row r="126" ht="15.30000019073486" customHeight="1">
      <c r="A126" s="24" t="inlineStr">
        <is>
          <t>The proof demonstrated that the platform is becoming very reliable, but it also revealed a product risk: an evaluation can conclude "82/100" while offering no actionable revisions. From a user's perspective, that's the biggest gap between technical success and perceived value.</t>
        </is>
      </c>
    </row>
    <row r="127" ht="15.30000019073486" customHeight="1">
      <c r="A127" s="24" t="inlineStr">
        <is>
          <t>I'd make that the next major engineering initiative after the Held Recovery proof stream is complete.</t>
        </is>
      </c>
    </row>
    <row r="128">
      <c r="A128" s="34" t="inlineStr">
        <is>
          <t>Top of Form</t>
        </is>
      </c>
    </row>
    <row r="129" ht="15.30000019073486" customHeight="1">
      <c r="A129" s="24" t="n"/>
    </row>
    <row r="130">
      <c r="A130" s="34" t="inlineStr">
        <is>
          <t>Bottom of Form</t>
        </is>
      </c>
    </row>
    <row r="131" ht="15.30000019073486" customHeight="1">
      <c r="A131" s="24"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38"/>
  <sheetViews>
    <sheetView workbookViewId="0">
      <selection activeCell="A1" sqref="A1"/>
    </sheetView>
  </sheetViews>
  <sheetFormatPr baseColWidth="8" defaultRowHeight="13.80000019073486"/>
  <sheetData>
    <row r="1" ht="14.10000038146973" customHeight="1">
      <c r="A1" s="36" t="inlineStr">
        <is>
          <t>It’s a strong assessment, but I would tighten its conclusions before turning it into an engineering roadmap.</t>
        </is>
      </c>
    </row>
    <row r="3">
      <c r="A3" t="inlineStr">
        <is>
          <t>The first section is accurate: Evaluate → governed-empty Revise is production-proven, while Held Recovery remains unproven.</t>
        </is>
      </c>
    </row>
    <row r="5">
      <c r="A5" t="inlineStr">
        <is>
          <t>The main correction is that “recommendation over-suppression” is currently a high-priority hypothesis—not yet a confirmed defect. An 82/100 evaluation with zero opportunities is suspicious, especially because two summary recommendations existed, but it could still be the correct governed outcome. We should trace why each criterion was suppressed before changing thresholds. Loosening gates prematurely could turn unsafe advice into Workbench cards.</t>
        </is>
      </c>
    </row>
    <row r="7">
      <c r="A7" t="inlineStr">
        <is>
          <t>Likewise, the workbook’s percentages are forensic scoring heuristics, not authoritative product SLAs or literary-quality scores. A health result of 0/95 may mean:</t>
        </is>
      </c>
    </row>
    <row r="8">
      <c r="A8" s="25" t="n"/>
    </row>
    <row r="9">
      <c r="A9" s="25" t="inlineStr">
        <is>
          <t>The producer is incomplete.</t>
        </is>
      </c>
    </row>
    <row r="10">
      <c r="A10" s="25" t="inlineStr">
        <is>
          <t>The health schema is obsolete.</t>
        </is>
      </c>
    </row>
    <row r="11">
      <c r="A11" s="25" t="inlineStr">
        <is>
          <t>The artifact is being assessed against the wrong consumer contract.</t>
        </is>
      </c>
    </row>
    <row r="13" ht="14.10000038146973" customHeight="1">
      <c r="A13" s="36" t="inlineStr">
        <is>
          <t>We must determine which applies before “enriching” producers.</t>
        </is>
      </c>
    </row>
    <row r="15">
      <c r="A15" t="inlineStr">
        <is>
          <t>Several of the proposed 20 opportunities also exceed the evidence. Queue performance, replay determinism, projection simplification, and dashboards may be worthwhile, but this proof did not demonstrate defects in all of them. They belong in a hypothesis backlog, not the confirmed-gap register.</t>
        </is>
      </c>
    </row>
    <row r="17" ht="14.10000038146973" customHeight="1">
      <c r="A17" s="36" t="inlineStr">
        <is>
          <t>My evidence-based priority order would be:</t>
        </is>
      </c>
    </row>
    <row r="18">
      <c r="A18" s="25" t="n"/>
    </row>
    <row r="19">
      <c r="A19" s="25" t="inlineStr">
        <is>
          <t>1. Complete the live Held Recovery → Readmission → Workbench proof.</t>
        </is>
      </c>
    </row>
    <row r="20">
      <c r="A20" s="25" t="inlineStr">
        <is>
          <t>2. Reconcile artifact-health schemas with actual producer/consumer contracts.</t>
        </is>
      </c>
    </row>
    <row r="21">
      <c r="A21" s="25" t="inlineStr">
        <is>
          <t>3. Correct the Phase 2 handoff’s 0/95 contract mismatch.</t>
        </is>
      </c>
    </row>
    <row r="22">
      <c r="A22" s="25" t="inlineStr">
        <is>
          <t>4. Diagnose all 13 recommendation suppression decisions.</t>
        </is>
      </c>
    </row>
    <row r="23">
      <c r="A23" s="25" t="inlineStr">
        <is>
          <t>5. Determine whether the two summary recommendations should have canonical criterion ownership.</t>
        </is>
      </c>
    </row>
    <row r="24">
      <c r="A24" s="25" t="inlineStr">
        <is>
          <t>6. Add complete provenance or explicit no-hash reason codes.</t>
        </is>
      </c>
    </row>
    <row r="25">
      <c r="A25" s="25" t="inlineStr">
        <is>
          <t>7. Eliminate the Pass 2 truncation retry without reducing evidence.</t>
        </is>
      </c>
    </row>
    <row r="26">
      <c r="A26" s="25" t="inlineStr">
        <is>
          <t>8. Add phase/pass/model/persistence latency instrumentation.</t>
        </is>
      </c>
    </row>
    <row r="27">
      <c r="A27" s="25" t="inlineStr">
        <is>
          <t>9. Expand synthetic dirty-data and kickback coverage outside production.</t>
        </is>
      </c>
    </row>
    <row r="28">
      <c r="A28" s="25" t="inlineStr">
        <is>
          <t>10. Improve operational diagnostics and failure classification.</t>
        </is>
      </c>
    </row>
    <row r="30">
      <c r="A30" t="inlineStr">
        <is>
          <t>So: the assessment is directionally excellent, but its later prioritization blends proven defects, plausible hypotheses, optimizations, and infrastructure aspirations. I would add the suggested “Release Blockers &amp; Readiness” sheet and give every item three fields:</t>
        </is>
      </c>
    </row>
    <row r="31">
      <c r="A31" s="25" t="n"/>
    </row>
    <row r="32">
      <c r="A32" s="25" t="inlineStr">
        <is>
          <t>Evidence status: proven, inferred, or untested</t>
        </is>
      </c>
    </row>
    <row r="33">
      <c r="A33" s="25" t="inlineStr">
        <is>
          <t>Impact class: correctness, product value, reliability, or performance</t>
        </is>
      </c>
    </row>
    <row r="34">
      <c r="A34" s="25" t="inlineStr">
        <is>
          <t>Release effect: blocker, high-value improvement, or backlog</t>
        </is>
      </c>
    </row>
    <row r="36">
      <c r="A36" t="inlineStr">
        <is>
          <t>The immediate next move should still be the bounded Held Recovery production proof. After that, recommendation suppression deserves the first major diagnostic initiative—not an automatic threshold adjustment.</t>
        </is>
      </c>
    </row>
    <row r="38">
      <c r="A38" s="35" t="n">
        <v>0.8784722222222222</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74"/>
  <sheetViews>
    <sheetView workbookViewId="0">
      <selection activeCell="A1" sqref="A1"/>
    </sheetView>
  </sheetViews>
  <sheetFormatPr baseColWidth="8" defaultRowHeight="13.80000019073486"/>
  <sheetData>
    <row r="1" ht="14.10000038146973" customHeight="1">
      <c r="A1" t="inlineStr">
        <is>
          <t>I think Codex's critique is stronger than my original prioritization in one important respect: it separates what the evidence proves from what the evidence suggests. That's exactly what a forensic workbook should do.</t>
        </is>
      </c>
    </row>
    <row r="3">
      <c r="A3" t="inlineStr">
        <is>
          <t>There are three places where I'd revise my own recommendations.</t>
        </is>
      </c>
    </row>
    <row r="5" ht="16.5" customHeight="1">
      <c r="A5" s="37" t="inlineStr">
        <is>
          <t>1. Recommendation over-suppression</t>
        </is>
      </c>
    </row>
    <row r="7">
      <c r="A7" t="inlineStr">
        <is>
          <t>I originally elevated this to the #1 engineering issue.</t>
        </is>
      </c>
    </row>
    <row r="9" ht="14.10000038146973" customHeight="1">
      <c r="A9" t="inlineStr">
        <is>
          <t>Codex is right that the workbook doesn't yet prove it's a defect.</t>
        </is>
      </c>
    </row>
    <row r="11">
      <c r="A11" t="inlineStr">
        <is>
          <t>What is proven is:</t>
        </is>
      </c>
    </row>
    <row r="12">
      <c r="A12" s="25" t="n"/>
    </row>
    <row r="13">
      <c r="A13" s="25" t="inlineStr">
        <is>
          <t>82/100 evaluation</t>
        </is>
      </c>
    </row>
    <row r="14">
      <c r="A14" s="25" t="inlineStr">
        <is>
          <t>zero canonical opportunities</t>
        </is>
      </c>
    </row>
    <row r="15">
      <c r="A15" s="25" t="inlineStr">
        <is>
          <t>two summary recommendations</t>
        </is>
      </c>
    </row>
    <row r="16">
      <c r="A16" s="25" t="inlineStr">
        <is>
          <t>Workbench correctly rendered an empty governed state</t>
        </is>
      </c>
    </row>
    <row r="18" ht="14.10000038146973" customHeight="1">
      <c r="A18" t="inlineStr">
        <is>
          <t>That proves an interesting state, not a bug.</t>
        </is>
      </c>
    </row>
    <row r="20">
      <c r="A20" t="inlineStr">
        <is>
          <t>The engineering question becomes:</t>
        </is>
      </c>
    </row>
    <row r="21">
      <c r="A21" s="25" t="n"/>
    </row>
    <row r="22" ht="14.10000038146973" customHeight="1">
      <c r="A22" s="38" t="inlineStr">
        <is>
          <t>Why were all thirteen criteria suppressed?</t>
        </is>
      </c>
    </row>
    <row r="24">
      <c r="A24" t="inlineStr">
        <is>
          <t>Possible outcomes:</t>
        </is>
      </c>
    </row>
    <row r="25">
      <c r="A25" s="25" t="n"/>
    </row>
    <row r="26">
      <c r="A26" s="25" t="inlineStr">
        <is>
          <t>every suppression is correct</t>
        </is>
      </c>
    </row>
    <row r="27">
      <c r="A27" s="25" t="inlineStr">
        <is>
          <t>one producer failed</t>
        </is>
      </c>
    </row>
    <row r="28">
      <c r="A28" s="25" t="inlineStr">
        <is>
          <t>ownership was lost</t>
        </is>
      </c>
    </row>
    <row r="29">
      <c r="A29" s="25" t="inlineStr">
        <is>
          <t>canonicalization discarded recommendations</t>
        </is>
      </c>
    </row>
    <row r="30">
      <c r="A30" s="25" t="inlineStr">
        <is>
          <t>thresholds are too conservative</t>
        </is>
      </c>
    </row>
    <row r="32">
      <c r="A32" t="inlineStr">
        <is>
          <t>Those are very different root causes.</t>
        </is>
      </c>
    </row>
    <row r="34">
      <c r="A34" t="inlineStr">
        <is>
          <t>So I'd rename the initiative from</t>
        </is>
      </c>
    </row>
    <row r="35">
      <c r="A35" s="25" t="n"/>
    </row>
    <row r="36">
      <c r="A36" s="25" t="inlineStr">
        <is>
          <t>"Fix recommendation suppression"</t>
        </is>
      </c>
    </row>
    <row r="38">
      <c r="A38" t="inlineStr">
        <is>
          <t>to</t>
        </is>
      </c>
    </row>
    <row r="39">
      <c r="A39" s="25" t="n"/>
    </row>
    <row r="40" ht="14.10000038146973" customHeight="1">
      <c r="A40" s="39" t="inlineStr">
        <is>
          <t>"Recommendation Suppression Forensics."</t>
        </is>
      </c>
    </row>
    <row r="42">
      <c r="A42" t="inlineStr">
        <is>
          <t>That's a much better first step.</t>
        </is>
      </c>
    </row>
    <row r="46" ht="16.5" customHeight="1">
      <c r="A46" s="37" t="inlineStr">
        <is>
          <t>2. Health scores</t>
        </is>
      </c>
    </row>
    <row r="48">
      <c r="A48" t="inlineStr">
        <is>
          <t>This is another place where Codex is exactly right.</t>
        </is>
      </c>
    </row>
    <row r="50">
      <c r="A50" t="inlineStr">
        <is>
          <t>I treated low health scores as evidence that producers were incomplete.</t>
        </is>
      </c>
    </row>
    <row r="52">
      <c r="A52" t="inlineStr">
        <is>
          <t>That's only one explanation.</t>
        </is>
      </c>
    </row>
    <row r="54">
      <c r="A54" t="inlineStr">
        <is>
          <t>The workbook can't distinguish between:</t>
        </is>
      </c>
    </row>
    <row r="55">
      <c r="A55" s="25" t="n"/>
    </row>
    <row r="56">
      <c r="A56" s="25" t="inlineStr">
        <is>
          <t>producer incomplete</t>
        </is>
      </c>
    </row>
    <row r="57">
      <c r="A57" s="25" t="inlineStr">
        <is>
          <t>schema obsolete</t>
        </is>
      </c>
    </row>
    <row r="58">
      <c r="A58" s="25" t="inlineStr">
        <is>
          <t>wrong consumer evaluating artifact</t>
        </is>
      </c>
    </row>
    <row r="60">
      <c r="A60" t="inlineStr">
        <is>
          <t>Those require different fixes.</t>
        </is>
      </c>
    </row>
    <row r="62">
      <c r="A62" t="inlineStr">
        <is>
          <t>The proper initiative becomes</t>
        </is>
      </c>
    </row>
    <row r="63">
      <c r="A63" s="25" t="n"/>
    </row>
    <row r="64" ht="14.10000038146973" customHeight="1">
      <c r="A64" s="39" t="inlineStr">
        <is>
          <t>Producer–Consumer Contract Reconciliation</t>
        </is>
      </c>
    </row>
    <row r="66">
      <c r="A66" t="inlineStr">
        <is>
          <t>rather than</t>
        </is>
      </c>
    </row>
    <row r="67">
      <c r="A67" s="25" t="n"/>
    </row>
    <row r="68">
      <c r="A68" s="25" t="inlineStr">
        <is>
          <t>enrich producers.</t>
        </is>
      </c>
    </row>
    <row r="72" ht="16.5" customHeight="1">
      <c r="A72" s="37" t="inlineStr">
        <is>
          <t>3. Separating facts from hypotheses</t>
        </is>
      </c>
    </row>
    <row r="74">
      <c r="A74" t="inlineStr">
        <is>
          <t>This is probably the biggest improvement.</t>
        </is>
      </c>
    </row>
    <row r="76">
      <c r="A76" t="inlineStr">
        <is>
          <t>A forensic workbook shouldn't mix:</t>
        </is>
      </c>
    </row>
    <row r="77">
      <c r="A77" s="25" t="n"/>
    </row>
    <row r="78">
      <c r="A78" s="25" t="inlineStr">
        <is>
          <t>observed production defects</t>
        </is>
      </c>
    </row>
    <row r="79">
      <c r="A79" s="25" t="inlineStr">
        <is>
          <t>architectural improvements</t>
        </is>
      </c>
    </row>
    <row r="80">
      <c r="A80" s="25" t="inlineStr">
        <is>
          <t>speculative optimizations</t>
        </is>
      </c>
    </row>
    <row r="82">
      <c r="A82" t="inlineStr">
        <is>
          <t>into one ranked list.</t>
        </is>
      </c>
    </row>
    <row r="84">
      <c r="A84" t="inlineStr">
        <is>
          <t>Those are fundamentally different classes.</t>
        </is>
      </c>
    </row>
    <row r="88" ht="22.5" customHeight="1">
      <c r="A88" s="40" t="inlineStr">
        <is>
          <t>I would restructure the roadmap like this</t>
        </is>
      </c>
    </row>
    <row r="90" ht="16.5" customHeight="1">
      <c r="A90" s="37" t="inlineStr">
        <is>
          <t>Tier 1 — Production-Proven Gaps</t>
        </is>
      </c>
    </row>
    <row r="92">
      <c r="A92" t="inlineStr">
        <is>
          <t>These are supported directly by production evidence.</t>
        </is>
      </c>
    </row>
    <row r="93">
      <c r="A93" s="25" t="n"/>
    </row>
    <row r="94">
      <c r="A94" s="25" t="inlineStr">
        <is>
          <t>1. Held Recovery proof incomplete</t>
        </is>
      </c>
    </row>
    <row r="95">
      <c r="A95" s="25" t="inlineStr">
        <is>
          <t>2. Artifact contract reconciliation</t>
        </is>
      </c>
    </row>
    <row r="96">
      <c r="A96" s="25" t="inlineStr">
        <is>
          <t>3. Phase 2 handoff contract mismatch</t>
        </is>
      </c>
    </row>
    <row r="97">
      <c r="A97" s="25" t="inlineStr">
        <is>
          <t>4. Recommendation suppression forensics</t>
        </is>
      </c>
    </row>
    <row r="98">
      <c r="A98" s="25" t="inlineStr">
        <is>
          <t>5. Summary recommendation ownership audit</t>
        </is>
      </c>
    </row>
    <row r="99">
      <c r="A99" s="25" t="inlineStr">
        <is>
          <t>6. Provenance completeness</t>
        </is>
      </c>
    </row>
    <row r="100">
      <c r="A100" s="25" t="inlineStr">
        <is>
          <t>7. Pass 2 truncation retry</t>
        </is>
      </c>
    </row>
    <row r="101">
      <c r="A101" s="25" t="inlineStr">
        <is>
          <t>8. Latency instrumentation</t>
        </is>
      </c>
    </row>
    <row r="102">
      <c r="A102" s="25" t="inlineStr">
        <is>
          <t>9. Dirty-path synthetic proof expansion</t>
        </is>
      </c>
    </row>
    <row r="103">
      <c r="A103" s="25" t="inlineStr">
        <is>
          <t>10. Operational diagnostics</t>
        </is>
      </c>
    </row>
    <row r="107" ht="16.5" customHeight="1">
      <c r="A107" s="37" t="inlineStr">
        <is>
          <t>Tier 2 — Strong Hypotheses</t>
        </is>
      </c>
    </row>
    <row r="109">
      <c r="A109" t="inlineStr">
        <is>
          <t>Worth investigating, but not yet proven.</t>
        </is>
      </c>
    </row>
    <row r="110">
      <c r="A110" s="25" t="n"/>
    </row>
    <row r="111">
      <c r="A111" s="25" t="inlineStr">
        <is>
          <t>Recommendation thresholds may be too conservative.</t>
        </is>
      </c>
    </row>
    <row r="112">
      <c r="A112" s="25" t="inlineStr">
        <is>
          <t>Producers may be under-populating artifacts.</t>
        </is>
      </c>
    </row>
    <row r="113">
      <c r="A113" s="25" t="inlineStr">
        <is>
          <t>Projection pipeline may be simplified.</t>
        </is>
      </c>
    </row>
    <row r="114">
      <c r="A114" s="25" t="inlineStr">
        <is>
          <t>Canonical ownership may be over-restrictive.</t>
        </is>
      </c>
    </row>
    <row r="115">
      <c r="A115" s="25" t="inlineStr">
        <is>
          <t>Queue hydration may be optimized.</t>
        </is>
      </c>
    </row>
    <row r="119" ht="16.5" customHeight="1">
      <c r="A119" s="37" t="inlineStr">
        <is>
          <t>Tier 3 — Architectural Improvements</t>
        </is>
      </c>
    </row>
    <row r="121">
      <c r="A121" t="inlineStr">
        <is>
          <t>Good engineering regardless of current defects.</t>
        </is>
      </c>
    </row>
    <row r="122">
      <c r="A122" s="25" t="n"/>
    </row>
    <row r="123">
      <c r="A123" s="25" t="inlineStr">
        <is>
          <t>Replay determinism improvements</t>
        </is>
      </c>
    </row>
    <row r="124">
      <c r="A124" s="25" t="inlineStr">
        <is>
          <t>Dashboard expansion</t>
        </is>
      </c>
    </row>
    <row r="125">
      <c r="A125" s="25" t="inlineStr">
        <is>
          <t>Queue performance</t>
        </is>
      </c>
    </row>
    <row r="126">
      <c r="A126" s="25" t="inlineStr">
        <is>
          <t>Model efficiency</t>
        </is>
      </c>
    </row>
    <row r="127">
      <c r="A127" s="25" t="inlineStr">
        <is>
          <t>CI hardening beyond current retries</t>
        </is>
      </c>
    </row>
    <row r="128">
      <c r="A128" s="25" t="inlineStr">
        <is>
          <t>Additional observability</t>
        </is>
      </c>
    </row>
    <row r="132" ht="22.5" customHeight="1">
      <c r="A132" s="40" t="inlineStr">
        <is>
          <t>One thing I'd add beyond Codex</t>
        </is>
      </c>
    </row>
    <row r="134">
      <c r="A134" t="inlineStr">
        <is>
          <t>I would add a fourth field to every item.</t>
        </is>
      </c>
    </row>
    <row r="136">
      <c r="A136" t="inlineStr">
        <is>
          <t>Instead of just</t>
        </is>
      </c>
    </row>
    <row r="137">
      <c r="A137" s="25" t="n"/>
    </row>
    <row r="138">
      <c r="A138" s="25" t="inlineStr">
        <is>
          <t>Evidence</t>
        </is>
      </c>
    </row>
    <row r="139">
      <c r="A139" s="25" t="inlineStr">
        <is>
          <t>Impact</t>
        </is>
      </c>
    </row>
    <row r="140">
      <c r="A140" s="25" t="inlineStr">
        <is>
          <t>Release effect</t>
        </is>
      </c>
    </row>
    <row r="142">
      <c r="A142" t="inlineStr">
        <is>
          <t>I'd include:</t>
        </is>
      </c>
    </row>
    <row r="144" ht="14.10000038146973" customHeight="1">
      <c r="A144" s="41" t="inlineStr">
        <is>
          <t>Field</t>
        </is>
      </c>
      <c r="B144" s="41" t="inlineStr">
        <is>
          <t>Purpose</t>
        </is>
      </c>
    </row>
    <row r="145" ht="55.20000076293945" customHeight="1">
      <c r="A145" s="42" t="inlineStr">
        <is>
          <t>Owner</t>
        </is>
      </c>
      <c r="B145" s="30" t="inlineStr">
        <is>
          <t>Which subsystem owns fixing it?</t>
        </is>
      </c>
    </row>
    <row r="147">
      <c r="A147" t="inlineStr">
        <is>
          <t>For example:</t>
        </is>
      </c>
    </row>
    <row r="149" ht="14.10000038146973" customHeight="1">
      <c r="A149" s="41" t="inlineStr">
        <is>
          <t>Gap</t>
        </is>
      </c>
      <c r="B149" s="41" t="inlineStr">
        <is>
          <t>Owner</t>
        </is>
      </c>
    </row>
    <row r="150" ht="41.40000152587891" customHeight="1">
      <c r="A150" s="30" t="inlineStr">
        <is>
          <t>Held Recovery proof</t>
        </is>
      </c>
      <c r="B150" s="30" t="inlineStr">
        <is>
          <t>Revision runtime</t>
        </is>
      </c>
    </row>
    <row r="151" ht="55.20000076293945" customHeight="1">
      <c r="A151" s="30" t="inlineStr">
        <is>
          <t>Recommendation suppression</t>
        </is>
      </c>
      <c r="B151" s="30" t="inlineStr">
        <is>
          <t>Editorial governance</t>
        </is>
      </c>
    </row>
    <row r="152" ht="41.40000152587891" customHeight="1">
      <c r="A152" s="30" t="inlineStr">
        <is>
          <t>Artifact schema mismatch</t>
        </is>
      </c>
      <c r="B152" s="30" t="inlineStr">
        <is>
          <t>Persistence contracts</t>
        </is>
      </c>
    </row>
    <row r="153" ht="41.40000152587891" customHeight="1">
      <c r="A153" s="30" t="inlineStr">
        <is>
          <t>Truncation retry</t>
        </is>
      </c>
      <c r="B153" s="30" t="inlineStr">
        <is>
          <t>LLM orchestration</t>
        </is>
      </c>
    </row>
    <row r="154" ht="27.60000038146973" customHeight="1">
      <c r="A154" s="30" t="inlineStr">
        <is>
          <t>Provenance</t>
        </is>
      </c>
      <c r="B154" s="30" t="inlineStr">
        <is>
          <t>Persistence layer</t>
        </is>
      </c>
    </row>
    <row r="155" ht="27.60000038146973" customHeight="1">
      <c r="A155" s="30" t="inlineStr">
        <is>
          <t>Diagnostics</t>
        </is>
      </c>
      <c r="B155" s="30" t="inlineStr">
        <is>
          <t>Observability</t>
        </is>
      </c>
    </row>
    <row r="157">
      <c r="A157" t="inlineStr">
        <is>
          <t>That prevents the backlog from becoming a flat list and makes it much easier to assign work.</t>
        </is>
      </c>
    </row>
    <row r="159" ht="22.5" customHeight="1">
      <c r="A159" s="40" t="inlineStr">
        <is>
          <t>My updated priority order</t>
        </is>
      </c>
    </row>
    <row r="161">
      <c r="A161" t="inlineStr">
        <is>
          <t>After reading both the workbook and Codex's critique, this is the sequence I'd follow:</t>
        </is>
      </c>
    </row>
    <row r="162">
      <c r="A162" s="25" t="n"/>
    </row>
    <row r="163" ht="14.10000038146973" customHeight="1">
      <c r="A163" s="39" t="inlineStr">
        <is>
          <t>1. Held Recovery production proof (complete the missing proof stream).</t>
        </is>
      </c>
    </row>
    <row r="164" ht="14.10000038146973" customHeight="1">
      <c r="A164" s="39" t="inlineStr">
        <is>
          <t>2. Artifact producer/consumer contract reconciliation.</t>
        </is>
      </c>
    </row>
    <row r="165" ht="14.10000038146973" customHeight="1">
      <c r="A165" s="39" t="inlineStr">
        <is>
          <t>3. Phase 2 handoff contract mismatch.</t>
        </is>
      </c>
    </row>
    <row r="166" ht="14.10000038146973" customHeight="1">
      <c r="A166" s="39" t="inlineStr">
        <is>
          <t>4. Recommendation suppression forensics (trace all 13 suppression decisions end to end).</t>
        </is>
      </c>
    </row>
    <row r="167" ht="14.10000038146973" customHeight="1">
      <c r="A167" s="39" t="inlineStr">
        <is>
          <t>5. Canonical ownership audit (determine whether the two summary recommendations should map to criterion-owned opportunities).</t>
        </is>
      </c>
    </row>
    <row r="168" ht="14.10000038146973" customHeight="1">
      <c r="A168" s="39" t="inlineStr">
        <is>
          <t>6. Provenance completeness.</t>
        </is>
      </c>
    </row>
    <row r="169" ht="14.10000038146973" customHeight="1">
      <c r="A169" s="39" t="inlineStr">
        <is>
          <t>7. Eliminate Pass 2 truncation retries.</t>
        </is>
      </c>
    </row>
    <row r="170" ht="14.10000038146973" customHeight="1">
      <c r="A170" s="39" t="inlineStr">
        <is>
          <t>8. Latency instrumentation.</t>
        </is>
      </c>
    </row>
    <row r="171" ht="14.10000038146973" customHeight="1">
      <c r="A171" s="39" t="inlineStr">
        <is>
          <t>9. Expand dirty-path and kickback proofs.</t>
        </is>
      </c>
    </row>
    <row r="172" ht="14.10000038146973" customHeight="1">
      <c r="A172" s="39" t="inlineStr">
        <is>
          <t>10. Operational diagnostics and classification.</t>
        </is>
      </c>
    </row>
    <row r="174">
      <c r="A174" t="inlineStr">
        <is>
          <t>I think that's a more disciplined roadmap because every item up to #10 is directly motivated by evidence from the production proof or by an explicit gap in the proof itself, rather than by arc</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3.80000019073486"/>
  <sheetData>
    <row r="1" ht="14.10000038146973" customHeight="1">
      <c r="A1" s="36" t="inlineStr">
        <is>
          <t>This revision is much stronger and now reflects the evidence responsibly.</t>
        </is>
      </c>
    </row>
    <row r="3">
      <c r="A3" t="inlineStr">
        <is>
          <t>I’d adopt it with two final refinements:</t>
        </is>
      </c>
    </row>
    <row r="4">
      <c r="A4" s="25" t="n"/>
    </row>
    <row r="5" ht="14.10000038146973" customHeight="1">
      <c r="A5" s="39" t="inlineStr">
        <is>
          <t>1. Rename “Tier 1 — Production-Proven Gaps” to “Evidence-Backed Next Work.”</t>
        </is>
      </c>
    </row>
    <row r="6">
      <c r="A6" s="25" t="inlineStr">
        <is>
          <t>Some entries are confirmed defects, while others are proof gaps or investigations. For example, Held Recovery is unproven—not proven broken—and recommendation suppression requires diagnosis.</t>
        </is>
      </c>
    </row>
    <row r="7">
      <c r="A7" s="25" t="n"/>
    </row>
    <row r="8" ht="14.10000038146973" customHeight="1">
      <c r="A8" s="39" t="inlineStr">
        <is>
          <t>2. Consolidate overlapping initiatives:</t>
        </is>
      </c>
    </row>
    <row r="9">
      <c r="A9" s="25" t="n"/>
    </row>
    <row r="10">
      <c r="A10" s="25" t="n"/>
    </row>
    <row r="11">
      <c r="A11" s="25" t="inlineStr">
        <is>
          <t>Fold the Phase 2 handoff mismatch into Producer–Consumer Contract Reconciliation until its root cause is known.</t>
        </is>
      </c>
    </row>
    <row r="12">
      <c r="A12" s="25" t="inlineStr">
        <is>
          <t>Fold the summary recommendation ownership audit into Recommendation Suppression Forensics. The two summary recommendations are a key branch of that investigation.</t>
        </is>
      </c>
    </row>
    <row r="14" ht="14.10000038146973" customHeight="1">
      <c r="A14" s="36" t="inlineStr">
        <is>
          <t>The resulting execution order would be:</t>
        </is>
      </c>
    </row>
    <row r="15">
      <c r="A15" s="25" t="n"/>
    </row>
    <row r="16">
      <c r="A16" s="25" t="inlineStr">
        <is>
          <t>1. Held Recovery production proof.</t>
        </is>
      </c>
    </row>
    <row r="17">
      <c r="A17" s="25" t="inlineStr">
        <is>
          <t>2. Producer–consumer contract reconciliation across Phase 0, Phase 1A, and Phase 2.</t>
        </is>
      </c>
    </row>
    <row r="18">
      <c r="A18" s="25" t="inlineStr">
        <is>
          <t>3. Recommendation suppression forensics, including all 13 criteria and the two summary recommendations.</t>
        </is>
      </c>
    </row>
    <row r="19">
      <c r="A19" s="25" t="inlineStr">
        <is>
          <t>4. Provenance completeness.</t>
        </is>
      </c>
    </row>
    <row r="20">
      <c r="A20" s="25" t="inlineStr">
        <is>
          <t>5. Pass 2 truncation prevention.</t>
        </is>
      </c>
    </row>
    <row r="21">
      <c r="A21" s="25" t="inlineStr">
        <is>
          <t>6. Phase/pass/model/persistence latency instrumentation.</t>
        </is>
      </c>
    </row>
    <row r="22">
      <c r="A22" s="25" t="inlineStr">
        <is>
          <t>7. Synthetic dirty-data and kickback proof expansion.</t>
        </is>
      </c>
    </row>
    <row r="23">
      <c r="A23" s="25" t="inlineStr">
        <is>
          <t>8. Operational diagnostics and failure classification.</t>
        </is>
      </c>
    </row>
    <row r="25" ht="14.10000038146973" customHeight="1">
      <c r="A25" s="36" t="inlineStr">
        <is>
          <t>The Owner field is an excellent addition. I would also add:</t>
        </is>
      </c>
    </row>
    <row r="26">
      <c r="A26" s="25" t="n"/>
    </row>
    <row r="27">
      <c r="A27" s="25" t="inlineStr">
        <is>
          <t>Work type: defect, proof gap, investigation, hardening, optimization.</t>
        </is>
      </c>
    </row>
    <row r="28">
      <c r="A28" s="25" t="inlineStr">
        <is>
          <t>Evidence strength: production, contract test, inferred, untested.</t>
        </is>
      </c>
    </row>
    <row r="29">
      <c r="A29" s="25" t="inlineStr">
        <is>
          <t>Exit criteria: the precise evidence required to close the item.</t>
        </is>
      </c>
    </row>
    <row r="30">
      <c r="A30" s="25" t="inlineStr">
        <is>
          <t>Dependencies: what must finish first.</t>
        </is>
      </c>
    </row>
    <row r="31">
      <c r="A31" s="25" t="inlineStr">
        <is>
          <t>Evidence ID: link back to the relevant artifact, job, test, or production observation.</t>
        </is>
      </c>
    </row>
    <row r="33" ht="14.10000038146973" customHeight="1">
      <c r="A33" s="36" t="inlineStr">
        <is>
          <t>That structure prevents an investigation from quietly becoming an assumed defect and prevents an optimization from being mistaken for a release blocker.</t>
        </is>
      </c>
    </row>
    <row r="35" ht="14.10000038146973" customHeight="1">
      <c r="A35" s="36" t="inlineStr">
        <is>
          <t>Most importantly, the first next action remains unchanged: run the bounded Held Recovery proof. After that, we should reconcile contracts before changing producers, and diagnose suppression before changing editorial thresholds.</t>
        </is>
      </c>
    </row>
    <row r="37">
      <c r="A37" s="35" t="n">
        <v>0.8805555555555555</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193"/>
  <sheetViews>
    <sheetView workbookViewId="0">
      <selection activeCell="A1" sqref="A1"/>
    </sheetView>
  </sheetViews>
  <sheetFormatPr baseColWidth="8" defaultRowHeight="13.80000019073486"/>
  <sheetData>
    <row r="1" ht="14.10000038146973" customHeight="1">
      <c r="A1" s="36" t="inlineStr">
        <is>
          <t>CODEX:</t>
        </is>
      </c>
    </row>
    <row r="2">
      <c r="A2" t="inlineStr">
        <is>
          <t>I’ll start with a controlled sequence that separates proof work from product corrections.</t>
        </is>
      </c>
    </row>
    <row r="3">
      <c r="A3" s="25" t="inlineStr">
        <is>
          <t>1. Establish the corrective-action register</t>
        </is>
      </c>
    </row>
    <row r="5">
      <c r="A5" t="inlineStr">
        <is>
          <t>I’ll add a readiness sheet classifying every item by:</t>
        </is>
      </c>
    </row>
    <row r="6">
      <c r="A6" s="25" t="n"/>
    </row>
    <row r="7">
      <c r="A7" s="25" t="inlineStr">
        <is>
          <t>Work type: defect, proof gap, investigation, or optimization</t>
        </is>
      </c>
    </row>
    <row r="8">
      <c r="A8" s="25" t="inlineStr">
        <is>
          <t>Evidence strength</t>
        </is>
      </c>
    </row>
    <row r="9">
      <c r="A9" s="25" t="inlineStr">
        <is>
          <t>Owning subsystem</t>
        </is>
      </c>
    </row>
    <row r="10">
      <c r="A10" s="25" t="inlineStr">
        <is>
          <t>Exit criteria</t>
        </is>
      </c>
    </row>
    <row r="11">
      <c r="A11" s="25" t="inlineStr">
        <is>
          <t>Dependencies</t>
        </is>
      </c>
    </row>
    <row r="12">
      <c r="A12" s="25" t="inlineStr">
        <is>
          <t>Evidence IDs</t>
        </is>
      </c>
    </row>
    <row r="14">
      <c r="A14" t="inlineStr">
        <is>
          <t>No item becomes a “bug fix” until its root cause is demonstrated.</t>
        </is>
      </c>
    </row>
    <row r="15">
      <c r="A15" s="25" t="n"/>
    </row>
    <row r="16">
      <c r="A16" s="25" t="inlineStr">
        <is>
          <t>2. Complete Held Recovery proof first</t>
        </is>
      </c>
    </row>
    <row r="18">
      <c r="A18" t="inlineStr">
        <is>
          <t>I’ll identify or construct one deterministic manuscript condition that produces a recoverable truncated anchor, then exercise:</t>
        </is>
      </c>
    </row>
    <row r="20">
      <c r="A20" s="43" t="inlineStr">
        <is>
          <t>held → reconstruction → canonical anchor persistence → identity-only Readmission → Workbench card → decision → reload</t>
        </is>
      </c>
    </row>
    <row r="22">
      <c r="A22" t="inlineStr">
        <is>
          <t>The proof must show:</t>
        </is>
      </c>
    </row>
    <row r="23">
      <c r="A23" s="25" t="n"/>
    </row>
    <row r="24">
      <c r="A24" s="25" t="inlineStr">
        <is>
          <t>Exactly one held item</t>
        </is>
      </c>
    </row>
    <row r="25">
      <c r="A25" s="25" t="inlineStr">
        <is>
          <t>Successful reconstruction and canonical verification</t>
        </is>
      </c>
    </row>
    <row r="26">
      <c r="A26" s="25" t="inlineStr">
        <is>
          <t>Exactly one Readmission</t>
        </is>
      </c>
    </row>
    <row r="27">
      <c r="A27" s="25" t="inlineStr">
        <is>
          <t>Hydrated candidates before admission</t>
        </is>
      </c>
    </row>
    <row r="28">
      <c r="A28" s="25" t="inlineStr">
        <is>
          <t>Exactly one Workbench card</t>
        </is>
      </c>
    </row>
    <row r="29">
      <c r="A29" s="25" t="inlineStr">
        <is>
          <t>Persisted accept/reject decision</t>
        </is>
      </c>
    </row>
    <row r="30">
      <c r="A30" s="25" t="inlineStr">
        <is>
          <t>Stable reload</t>
        </is>
      </c>
    </row>
    <row r="31">
      <c r="A31" s="25" t="inlineStr">
        <is>
          <t>No duplicate reconstruction, ledger row, or card</t>
        </is>
      </c>
    </row>
    <row r="33">
      <c r="A33" t="inlineStr">
        <is>
          <t>Any failure gets classified and corrected through a bounded PR before retrying. The production flag will be enabled only for the exact proof job and removed immediately afterward.</t>
        </is>
      </c>
    </row>
    <row r="34">
      <c r="A34" s="25" t="n"/>
    </row>
    <row r="35">
      <c r="A35" s="25" t="inlineStr">
        <is>
          <t>3. Reconcile artifact contracts</t>
        </is>
      </c>
    </row>
    <row r="37">
      <c r="A37" t="inlineStr">
        <is>
          <t>For every low-health artifact, I’ll trace:</t>
        </is>
      </c>
    </row>
    <row r="39">
      <c r="A39" s="43" t="inlineStr">
        <is>
          <t>producer → persisted schema → validator → actual consumer</t>
        </is>
      </c>
    </row>
    <row r="41">
      <c r="A41" t="inlineStr">
        <is>
          <t>Each mismatch will be classified as:</t>
        </is>
      </c>
    </row>
    <row r="42">
      <c r="A42" s="25" t="n"/>
    </row>
    <row r="43">
      <c r="A43" s="25" t="inlineStr">
        <is>
          <t>Producer omission</t>
        </is>
      </c>
    </row>
    <row r="44">
      <c r="A44" s="25" t="inlineStr">
        <is>
          <t>Obsolete validator/schema</t>
        </is>
      </c>
    </row>
    <row r="45">
      <c r="A45" s="25" t="inlineStr">
        <is>
          <t>Wrong artifact evaluated</t>
        </is>
      </c>
    </row>
    <row r="46">
      <c r="A46" s="25" t="inlineStr">
        <is>
          <t>Version mismatch</t>
        </is>
      </c>
    </row>
    <row r="47">
      <c r="A47" s="25" t="inlineStr">
        <is>
          <t>Genuine downstream safety defect</t>
        </is>
      </c>
    </row>
    <row r="49">
      <c r="A49" t="inlineStr">
        <is>
          <t>The Phase 2 handoff receives first attention. We will not add fields merely to improve a health score unless a governed consumer requires them.</t>
        </is>
      </c>
    </row>
    <row r="50">
      <c r="A50" s="25" t="n"/>
    </row>
    <row r="51">
      <c r="A51" s="25" t="inlineStr">
        <is>
          <t>4. Run recommendation-suppression forensics</t>
        </is>
      </c>
    </row>
    <row r="53">
      <c r="A53" t="inlineStr">
        <is>
          <t>For all 13 criteria, I’ll trace:</t>
        </is>
      </c>
    </row>
    <row r="55">
      <c r="A55" s="43" t="inlineStr">
        <is>
          <t>model output → validation → ownership → canonicalization → suppression decision → UED</t>
        </is>
      </c>
    </row>
    <row r="57">
      <c r="A57" t="inlineStr">
        <is>
          <t>The two summary recommendations will be included in the same analysis. The output will identify whether zero opportunities resulted from correct suppression, producer loss, ownership loss, canonicalization loss, or overly conservative thresholds.</t>
        </is>
      </c>
    </row>
    <row r="58">
      <c r="A58" s="25" t="n"/>
    </row>
    <row r="59">
      <c r="A59" s="25" t="inlineStr">
        <is>
          <t>5. Address reliability and latency from measured causes</t>
        </is>
      </c>
    </row>
    <row r="61">
      <c r="A61" t="inlineStr">
        <is>
          <t>After correctness:</t>
        </is>
      </c>
    </row>
    <row r="62">
      <c r="A62" s="25" t="n"/>
    </row>
    <row r="63">
      <c r="A63" s="25" t="inlineStr">
        <is>
          <t>Make provenance complete or require explicit no-hash reason codes.</t>
        </is>
      </c>
    </row>
    <row r="64">
      <c r="A64" s="25" t="inlineStr">
        <is>
          <t>Prevent the Pass 2 truncation retry.</t>
        </is>
      </c>
    </row>
    <row r="65">
      <c r="A65" s="25" t="inlineStr">
        <is>
          <t>Add phase/pass/model/persistence timing spans.</t>
        </is>
      </c>
    </row>
    <row r="66">
      <c r="A66" s="25" t="inlineStr">
        <is>
          <t>Expand synthetic dirty-data kickback tests.</t>
        </is>
      </c>
    </row>
    <row r="67">
      <c r="A67" s="25" t="inlineStr">
        <is>
          <t>Improve operational error classification.</t>
        </is>
      </c>
    </row>
    <row r="69">
      <c r="A69" t="inlineStr">
        <is>
          <t>Each corrective PR will have a narrow exit condition and production evidence. I’ll begin with the Held Recovery proof stream; it is the only major runtime capability still explicitly unproven.</t>
        </is>
      </c>
    </row>
    <row r="71" ht="14.10000038146973" customHeight="1">
      <c r="A71" s="36" t="inlineStr">
        <is>
          <t>CHATGPT:</t>
        </is>
      </c>
    </row>
    <row r="72" ht="14.10000038146973" customHeight="1">
      <c r="A72" t="inlineStr">
        <is>
          <t>I think this is a well-structured execution plan. The biggest improvement over earlier proposals is that you've imposed a disciplined sequence: prove first, diagnose second, correct third, optimize last. That reduces the risk of "fixing" behavior that turns out to be intentional.</t>
        </is>
      </c>
    </row>
    <row r="74">
      <c r="A74" t="inlineStr">
        <is>
          <t>A few observations on each stage:</t>
        </is>
      </c>
    </row>
    <row r="76" ht="16.5" customHeight="1">
      <c r="A76" s="37" t="inlineStr">
        <is>
          <t>1. Corrective-action register</t>
        </is>
      </c>
    </row>
    <row r="78">
      <c r="A78" t="inlineStr">
        <is>
          <t>This is exactly the kind of governance layer that keeps technical debt from accumulating. I particularly like that every item requires:</t>
        </is>
      </c>
    </row>
    <row r="79">
      <c r="A79" s="25" t="n"/>
    </row>
    <row r="80">
      <c r="A80" s="25" t="inlineStr">
        <is>
          <t>work type</t>
        </is>
      </c>
    </row>
    <row r="81">
      <c r="A81" s="25" t="inlineStr">
        <is>
          <t>evidence strength</t>
        </is>
      </c>
    </row>
    <row r="82">
      <c r="A82" s="25" t="inlineStr">
        <is>
          <t>owner</t>
        </is>
      </c>
    </row>
    <row r="83">
      <c r="A83" s="25" t="inlineStr">
        <is>
          <t>exit criteria</t>
        </is>
      </c>
    </row>
    <row r="84">
      <c r="A84" s="25" t="inlineStr">
        <is>
          <t>dependencies</t>
        </is>
      </c>
    </row>
    <row r="85">
      <c r="A85" s="25" t="inlineStr">
        <is>
          <t>evidence IDs</t>
        </is>
      </c>
    </row>
    <row r="87">
      <c r="A87" t="inlineStr">
        <is>
          <t>That makes it possible to distinguish a production defect from a hypothesis without relying on memory or discussion history.</t>
        </is>
      </c>
    </row>
    <row r="89" ht="14.10000038146973" customHeight="1">
      <c r="A89" t="inlineStr">
        <is>
          <t>One addition I'd make is a verification method field. For example:</t>
        </is>
      </c>
    </row>
    <row r="90">
      <c r="A90" s="25" t="n"/>
    </row>
    <row r="91">
      <c r="A91" s="25" t="inlineStr">
        <is>
          <t>production proof</t>
        </is>
      </c>
    </row>
    <row r="92">
      <c r="A92" s="25" t="inlineStr">
        <is>
          <t>characterization test</t>
        </is>
      </c>
    </row>
    <row r="93">
      <c r="A93" s="25" t="inlineStr">
        <is>
          <t>contract test</t>
        </is>
      </c>
    </row>
    <row r="94">
      <c r="A94" s="25" t="inlineStr">
        <is>
          <t>unit test</t>
        </is>
      </c>
    </row>
    <row r="95">
      <c r="A95" s="25" t="inlineStr">
        <is>
          <t>integration test</t>
        </is>
      </c>
    </row>
    <row r="96">
      <c r="A96" s="25" t="inlineStr">
        <is>
          <t>manual forensic inspection</t>
        </is>
      </c>
    </row>
    <row r="98">
      <c r="A98" t="inlineStr">
        <is>
          <t>That makes it immediately obvious how an item will be considered complete.</t>
        </is>
      </c>
    </row>
    <row r="102" ht="16.5" customHeight="1">
      <c r="A102" s="37" t="inlineStr">
        <is>
          <t>2. Held Recovery proof</t>
        </is>
      </c>
    </row>
    <row r="104">
      <c r="A104" t="inlineStr">
        <is>
          <t>I think this is the correct next stream.</t>
        </is>
      </c>
    </row>
    <row r="106">
      <c r="A106" t="inlineStr">
        <is>
          <t>Your success criteria are concrete and measurable:</t>
        </is>
      </c>
    </row>
    <row r="107">
      <c r="A107" s="25" t="n"/>
    </row>
    <row r="108">
      <c r="A108" s="25" t="inlineStr">
        <is>
          <t>one held item</t>
        </is>
      </c>
    </row>
    <row r="109">
      <c r="A109" s="25" t="inlineStr">
        <is>
          <t>one reconstruction</t>
        </is>
      </c>
    </row>
    <row r="110">
      <c r="A110" s="25" t="inlineStr">
        <is>
          <t>one readmission</t>
        </is>
      </c>
    </row>
    <row r="111">
      <c r="A111" s="25" t="inlineStr">
        <is>
          <t>one Workbench card</t>
        </is>
      </c>
    </row>
    <row r="112">
      <c r="A112" s="25" t="inlineStr">
        <is>
          <t>one persisted decision</t>
        </is>
      </c>
    </row>
    <row r="113">
      <c r="A113" s="25" t="inlineStr">
        <is>
          <t>stable reload</t>
        </is>
      </c>
    </row>
    <row r="114">
      <c r="A114" s="25" t="inlineStr">
        <is>
          <t>zero duplicates</t>
        </is>
      </c>
    </row>
    <row r="116">
      <c r="A116" t="inlineStr">
        <is>
          <t>Those are objective pass/fail conditions rather than subjective observations.</t>
        </is>
      </c>
    </row>
    <row r="118">
      <c r="A118" t="inlineStr">
        <is>
          <t>The only thing I'd explicitly add is:</t>
        </is>
      </c>
    </row>
    <row r="119">
      <c r="A119" s="25" t="n"/>
    </row>
    <row r="120" ht="14.10000038146973" customHeight="1">
      <c r="A120" s="39" t="inlineStr">
        <is>
          <t>No mutation outside the proof target.</t>
        </is>
      </c>
    </row>
    <row r="122">
      <c r="A122" t="inlineStr">
        <is>
          <t>Since you're enabling production behavior for a single proof job, I'd include a verification that no unrelated evaluations or held items are affected during the proof window.</t>
        </is>
      </c>
    </row>
    <row r="126" ht="16.5" customHeight="1">
      <c r="A126" s="37" t="inlineStr">
        <is>
          <t>3. Artifact contract reconciliation</t>
        </is>
      </c>
    </row>
    <row r="128">
      <c r="A128" t="inlineStr">
        <is>
          <t>This is a much better framing than "fix health scores."</t>
        </is>
      </c>
    </row>
    <row r="130">
      <c r="A130" t="inlineStr">
        <is>
          <t>Tracing</t>
        </is>
      </c>
    </row>
    <row r="131">
      <c r="A131" s="25" t="n"/>
    </row>
    <row r="132">
      <c r="A132" s="25" t="inlineStr">
        <is>
          <t>producer → persisted schema → validator → consumer</t>
        </is>
      </c>
    </row>
    <row r="134">
      <c r="A134" t="inlineStr">
        <is>
          <t>is exactly the chain needed to determine whether the mismatch belongs to the producer, the validator, or the consumer.</t>
        </is>
      </c>
    </row>
    <row r="136">
      <c r="A136" t="inlineStr">
        <is>
          <t>That should prevent unnecessary schema expansion simply to improve a forensic score.</t>
        </is>
      </c>
    </row>
    <row r="140" ht="16.5" customHeight="1">
      <c r="A140" s="37" t="inlineStr">
        <is>
          <t>4. Recommendation-suppression forensics</t>
        </is>
      </c>
    </row>
    <row r="142">
      <c r="A142" t="inlineStr">
        <is>
          <t>This is probably the most important diagnostic after Held Recovery.</t>
        </is>
      </c>
    </row>
    <row r="144">
      <c r="A144" t="inlineStr">
        <is>
          <t>I especially like tracing:</t>
        </is>
      </c>
    </row>
    <row r="145">
      <c r="A145" s="25" t="n"/>
    </row>
    <row r="146">
      <c r="A146" s="25" t="inlineStr">
        <is>
          <t>model output → validation → ownership → canonicalization → suppression → UED</t>
        </is>
      </c>
    </row>
    <row r="148">
      <c r="A148" t="inlineStr">
        <is>
          <t>That creates a complete lineage for each recommendation.</t>
        </is>
      </c>
    </row>
    <row r="150">
      <c r="A150" t="inlineStr">
        <is>
          <t>One thing I'd add is recording, for every suppression:</t>
        </is>
      </c>
    </row>
    <row r="151">
      <c r="A151" s="25" t="n"/>
    </row>
    <row r="152">
      <c r="A152" s="25" t="inlineStr">
        <is>
          <t>suppression reason</t>
        </is>
      </c>
    </row>
    <row r="153">
      <c r="A153" s="25" t="inlineStr">
        <is>
          <t>governing rule</t>
        </is>
      </c>
    </row>
    <row r="154">
      <c r="A154" s="25" t="inlineStr">
        <is>
          <t>evidence supporting the decision</t>
        </is>
      </c>
    </row>
    <row r="156">
      <c r="A156" t="inlineStr">
        <is>
          <t>That makes it possible to distinguish "correctly suppressed" from "lost during transformation."</t>
        </is>
      </c>
    </row>
    <row r="160" ht="16.5" customHeight="1">
      <c r="A160" s="37" t="inlineStr">
        <is>
          <t>5. Reliability and latency</t>
        </is>
      </c>
    </row>
    <row r="162">
      <c r="A162" t="inlineStr">
        <is>
          <t>I agree with the ordering.</t>
        </is>
      </c>
    </row>
    <row r="164">
      <c r="A164" t="inlineStr">
        <is>
          <t>Notice that every item here is driven by measured evidence:</t>
        </is>
      </c>
    </row>
    <row r="165">
      <c r="A165" s="25" t="n"/>
    </row>
    <row r="166">
      <c r="A166" s="25" t="inlineStr">
        <is>
          <t>provenance completeness</t>
        </is>
      </c>
    </row>
    <row r="167">
      <c r="A167" s="25" t="inlineStr">
        <is>
          <t>truncation retry elimination</t>
        </is>
      </c>
    </row>
    <row r="168">
      <c r="A168" s="25" t="inlineStr">
        <is>
          <t>timing spans</t>
        </is>
      </c>
    </row>
    <row r="169">
      <c r="A169" s="25" t="inlineStr">
        <is>
          <t>dirty-data coverage</t>
        </is>
      </c>
    </row>
    <row r="170">
      <c r="A170" s="25" t="inlineStr">
        <is>
          <t>operational diagnostics</t>
        </is>
      </c>
    </row>
    <row r="172">
      <c r="A172" t="inlineStr">
        <is>
          <t>None require changing product behavior until the measurements indicate a need.</t>
        </is>
      </c>
    </row>
    <row r="176" ht="22.5" customHeight="1">
      <c r="A176" s="40" t="inlineStr">
        <is>
          <t>Overall assessment</t>
        </is>
      </c>
    </row>
    <row r="178">
      <c r="A178" t="inlineStr">
        <is>
          <t>If I were reviewing this as an engineering execution plan, I'd consider it ready to execute.</t>
        </is>
      </c>
    </row>
    <row r="180">
      <c r="A180" t="inlineStr">
        <is>
          <t>The sequence is coherent:</t>
        </is>
      </c>
    </row>
    <row r="181">
      <c r="A181" s="25" t="n"/>
    </row>
    <row r="182">
      <c r="A182" s="25" t="inlineStr">
        <is>
          <t>1. Governance and tracking</t>
        </is>
      </c>
    </row>
    <row r="183">
      <c r="A183" s="25" t="inlineStr">
        <is>
          <t>2. Complete the remaining production proof</t>
        </is>
      </c>
    </row>
    <row r="184">
      <c r="A184" s="25" t="inlineStr">
        <is>
          <t>3. Reconcile contracts</t>
        </is>
      </c>
    </row>
    <row r="185">
      <c r="A185" s="25" t="inlineStr">
        <is>
          <t>4. Investigate recommendation suppression</t>
        </is>
      </c>
    </row>
    <row r="186">
      <c r="A186" s="25" t="inlineStr">
        <is>
          <t>5. Improve reliability and performance</t>
        </is>
      </c>
    </row>
    <row r="188">
      <c r="A188" t="inlineStr">
        <is>
          <t>Each stage has bounded objectives, explicit success criteria, and avoids making product changes before the underlying behavior is understood. That's a solid foundation for the next phase of RevisionGrade's development.</t>
        </is>
      </c>
    </row>
    <row r="191" ht="14.10000038146973" customHeight="1">
      <c r="A191" s="36" t="inlineStr">
        <is>
          <t>CODEX:</t>
        </is>
      </c>
    </row>
    <row r="192">
      <c r="A192" t="inlineStr">
        <is>
          <t xml:space="preserve">Agreed. I’m adopting both additions as formal acceptance criteria: every action gets a verification method, and the Held Recovery proof must demonstrate zero mutations outside the targeted job. </t>
        </is>
      </c>
    </row>
    <row r="193">
      <c r="A193" t="inlineStr">
        <is>
          <t>I’ll begin with the repository baseline and the existing proof/reconstruction seams, then build the corrective-action register around evidence rather than assumptions.</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2"/>
  <sheetViews>
    <sheetView showGridLines="0" workbookViewId="0">
      <selection activeCell="A1" sqref="A1"/>
    </sheetView>
  </sheetViews>
  <sheetFormatPr baseColWidth="8" defaultRowHeight="13.80000019073486"/>
  <cols>
    <col width="16" customWidth="1" min="1" max="1"/>
    <col width="25" customWidth="1" min="2" max="2"/>
    <col width="24" customWidth="1" min="3" max="8"/>
    <col width="16" customWidth="1" min="9" max="13"/>
    <col width="19" customWidth="1" min="14" max="14"/>
    <col width="26" customWidth="1" min="15" max="16"/>
  </cols>
  <sheetData>
    <row r="1" ht="34" customHeight="1">
      <c r="A1" s="62" t="inlineStr">
        <is>
          <t>Phase–Pass SIPOC / FIPOC Matrix</t>
        </is>
      </c>
    </row>
    <row r="2" ht="32.04999923706055" customHeight="1">
      <c r="A2" s="63" t="inlineStr">
        <is>
          <t>Production proof job 2a3b7e14-c898-44eb-a85a-e2e6e9980880. Durations are observed/derived and rounded; Phase 5 is user-open latency, not pipeline runtime.</t>
        </is>
      </c>
    </row>
    <row r="4" ht="34" customHeight="1">
      <c r="A4" s="1" t="inlineStr">
        <is>
          <t>Phase</t>
        </is>
      </c>
      <c r="B4" s="2" t="inlineStr">
        <is>
          <t>Pass / process</t>
        </is>
      </c>
      <c r="C4" s="2" t="inlineStr">
        <is>
          <t>Suppliers</t>
        </is>
      </c>
      <c r="D4" s="2" t="inlineStr">
        <is>
          <t>Inputs</t>
        </is>
      </c>
      <c r="E4" s="2" t="inlineStr">
        <is>
          <t>Process</t>
        </is>
      </c>
      <c r="F4" s="2" t="inlineStr">
        <is>
          <t>Controls / kickbacks</t>
        </is>
      </c>
      <c r="G4" s="2" t="inlineStr">
        <is>
          <t>Outputs</t>
        </is>
      </c>
      <c r="H4" s="2" t="inlineStr">
        <is>
          <t>Customers</t>
        </is>
      </c>
      <c r="I4" s="2" t="inlineStr">
        <is>
          <t>Seconds</t>
        </is>
      </c>
      <c r="J4" s="2" t="inlineStr">
        <is>
          <t>Artifacts</t>
        </is>
      </c>
      <c r="K4" s="2" t="inlineStr">
        <is>
          <t>Completeness</t>
        </is>
      </c>
      <c r="L4" s="2" t="inlineStr">
        <is>
          <t>Quality</t>
        </is>
      </c>
      <c r="M4" s="2" t="inlineStr">
        <is>
          <t>% acceptable</t>
        </is>
      </c>
      <c r="N4" s="2" t="inlineStr">
        <is>
          <t>Status</t>
        </is>
      </c>
      <c r="O4" s="2" t="inlineStr">
        <is>
          <t>Primary metric</t>
        </is>
      </c>
      <c r="P4" s="3" t="inlineStr">
        <is>
          <t>Finding</t>
        </is>
      </c>
    </row>
    <row r="5" ht="64" customHeight="1">
      <c r="A5" s="14" t="inlineStr">
        <is>
          <t>Phase 0</t>
        </is>
      </c>
      <c r="B5" s="14" t="inlineStr">
        <is>
          <t>Seed generation + fit-gap</t>
        </is>
      </c>
      <c r="C5" s="14" t="inlineStr">
        <is>
          <t>Manuscript intake; doctrine registry</t>
        </is>
      </c>
      <c r="D5" s="14" t="inlineStr">
        <is>
          <t>Manuscript text; mode; seed contracts</t>
        </is>
      </c>
      <c r="E5" s="14" t="inlineStr">
        <is>
          <t>Generate story/evaluation seeds and validate fit gaps</t>
        </is>
      </c>
      <c r="F5" s="14" t="inlineStr">
        <is>
          <t>Schema health; fit-gap status</t>
        </is>
      </c>
      <c r="G5" s="14" t="inlineStr">
        <is>
          <t>3 seed artifacts</t>
        </is>
      </c>
      <c r="H5" s="14" t="inlineStr">
        <is>
          <t>Phase 1; forensic audit</t>
        </is>
      </c>
      <c r="I5" s="14" t="n">
        <v>28</v>
      </c>
      <c r="J5" s="14">
        <f>COUNTIF('Artifact Forensics'!$A$5:$A$28,A5)</f>
        <v/>
      </c>
      <c r="K5" s="16">
        <f>IFERROR(AVERAGEIF('Artifact Forensics'!$A$5:$A$28,A5,'Artifact Forensics'!$H$5:$H$28),0)</f>
        <v/>
      </c>
      <c r="L5" s="16">
        <f>IFERROR(AVERAGEIF('Artifact Forensics'!$A$5:$A$28,A5,'Artifact Forensics'!$I$5:$I$28),0)</f>
        <v/>
      </c>
      <c r="M5" s="16">
        <f>IFERROR(AVERAGEIF('Artifact Forensics'!$A$5:$A$28,A5,'Artifact Forensics'!$K$5:$K$28),0)</f>
        <v/>
      </c>
      <c r="N5" s="14" t="inlineStr">
        <is>
          <t>NEEDS HARDENING</t>
        </is>
      </c>
      <c r="O5" s="14" t="inlineStr">
        <is>
          <t>Artifact fitness; latency; release state</t>
        </is>
      </c>
      <c r="P5" s="14" t="inlineStr">
        <is>
          <t>Seed health contracts show missing expected fields.</t>
        </is>
      </c>
    </row>
    <row r="6" ht="64" customHeight="1">
      <c r="A6" s="5" t="inlineStr">
        <is>
          <t>Phase 1</t>
        </is>
      </c>
      <c r="B6" s="5" t="inlineStr">
        <is>
          <t>Full context + editorial dream</t>
        </is>
      </c>
      <c r="C6" s="5" t="inlineStr">
        <is>
          <t>Phase 0 seeds; manuscript</t>
        </is>
      </c>
      <c r="D6" s="5" t="inlineStr">
        <is>
          <t>Canonical text; seed hypotheses</t>
        </is>
      </c>
      <c r="E6" s="5" t="inlineStr">
        <is>
          <t>Whole-context narrative and editorial diagnosis</t>
        </is>
      </c>
      <c r="F6" s="5" t="inlineStr">
        <is>
          <t>Acceptance checks; hard-do-not-import</t>
        </is>
      </c>
      <c r="G6" s="5" t="inlineStr">
        <is>
          <t>Story ledger; editorial dream</t>
        </is>
      </c>
      <c r="H6" s="5" t="inlineStr">
        <is>
          <t>Phase 1A; synthesis</t>
        </is>
      </c>
      <c r="I6" s="5" t="n">
        <v>92</v>
      </c>
      <c r="J6" s="5">
        <f>COUNTIF('Artifact Forensics'!$A$5:$A$28,A6)</f>
        <v/>
      </c>
      <c r="K6" s="7">
        <f>IFERROR(AVERAGEIF('Artifact Forensics'!$A$5:$A$28,A6,'Artifact Forensics'!$H$5:$H$28),0)</f>
        <v/>
      </c>
      <c r="L6" s="7">
        <f>IFERROR(AVERAGEIF('Artifact Forensics'!$A$5:$A$28,A6,'Artifact Forensics'!$I$5:$I$28),0)</f>
        <v/>
      </c>
      <c r="M6" s="7">
        <f>IFERROR(AVERAGEIF('Artifact Forensics'!$A$5:$A$28,A6,'Artifact Forensics'!$K$5:$K$28),0)</f>
        <v/>
      </c>
      <c r="N6" s="5" t="inlineStr">
        <is>
          <t>PASS WITH FINDINGS</t>
        </is>
      </c>
      <c r="O6" s="5" t="inlineStr">
        <is>
          <t>Artifact fitness; latency; release state</t>
        </is>
      </c>
      <c r="P6" s="5" t="inlineStr">
        <is>
          <t>Rich content; two persisted records lack source hashes.</t>
        </is>
      </c>
    </row>
    <row r="7" ht="64" customHeight="1">
      <c r="A7" s="18" t="inlineStr">
        <is>
          <t>Phase 1A</t>
        </is>
      </c>
      <c r="B7" s="18" t="inlineStr">
        <is>
          <t>Routing, character and story ledgers</t>
        </is>
      </c>
      <c r="C7" s="18" t="inlineStr">
        <is>
          <t>Phase 1 ledgers; chunker</t>
        </is>
      </c>
      <c r="D7" s="18" t="inlineStr">
        <is>
          <t>Two chunks; routing manifest; preflight</t>
        </is>
      </c>
      <c r="E7" s="18" t="inlineStr">
        <is>
          <t>Build character/story layers and certify accepted ledger</t>
        </is>
      </c>
      <c r="F7" s="18" t="inlineStr">
        <is>
          <t>Ledger quality report; accepted-ledger boundary</t>
        </is>
      </c>
      <c r="G7" s="18" t="inlineStr">
        <is>
          <t>7 routing/cache/ledger artifacts</t>
        </is>
      </c>
      <c r="H7" s="18" t="inlineStr">
        <is>
          <t>Phase 2; Pass 3 preflight</t>
        </is>
      </c>
      <c r="I7" s="18" t="n">
        <v>135</v>
      </c>
      <c r="J7" s="18">
        <f>COUNTIF('Artifact Forensics'!$A$5:$A$28,A7)</f>
        <v/>
      </c>
      <c r="K7" s="20">
        <f>IFERROR(AVERAGEIF('Artifact Forensics'!$A$5:$A$28,A7,'Artifact Forensics'!$H$5:$H$28),0)</f>
        <v/>
      </c>
      <c r="L7" s="20">
        <f>IFERROR(AVERAGEIF('Artifact Forensics'!$A$5:$A$28,A7,'Artifact Forensics'!$I$5:$I$28),0)</f>
        <v/>
      </c>
      <c r="M7" s="20">
        <f>IFERROR(AVERAGEIF('Artifact Forensics'!$A$5:$A$28,A7,'Artifact Forensics'!$K$5:$K$28),0)</f>
        <v/>
      </c>
      <c r="N7" s="18" t="inlineStr">
        <is>
          <t>NEEDS HARDENING</t>
        </is>
      </c>
      <c r="O7" s="18" t="inlineStr">
        <is>
          <t>Artifact fitness; latency; release state</t>
        </is>
      </c>
      <c r="P7" s="18" t="inlineStr">
        <is>
          <t>Routing/cache health schema drift despite successful processing.</t>
        </is>
      </c>
    </row>
    <row r="8" ht="64" customHeight="1">
      <c r="A8" s="5" t="inlineStr">
        <is>
          <t>Phase 2</t>
        </is>
      </c>
      <c r="B8" s="5" t="inlineStr">
        <is>
          <t>Pass 1 / Pass 2 analysis and handoff</t>
        </is>
      </c>
      <c r="C8" s="5" t="inlineStr">
        <is>
          <t>Accepted story ledger; chunk caches</t>
        </is>
      </c>
      <c r="D8" s="5" t="inlineStr">
        <is>
          <t>Two manuscript chunks; criterion targets</t>
        </is>
      </c>
      <c r="E8" s="5" t="inlineStr">
        <is>
          <t>Analyze chunks, reconcile Pass 1/2 and persist handoff</t>
        </is>
      </c>
      <c r="F8" s="5" t="inlineStr">
        <is>
          <t>Token/output limit; handoff contract</t>
        </is>
      </c>
      <c r="G8" s="5" t="inlineStr">
        <is>
          <t>Pass 1 cache; Pass 2 cache; handoff</t>
        </is>
      </c>
      <c r="H8" s="5" t="inlineStr">
        <is>
          <t>Phase 3 synthesis</t>
        </is>
      </c>
      <c r="I8" s="5" t="n">
        <v>120</v>
      </c>
      <c r="J8" s="5">
        <f>COUNTIF('Artifact Forensics'!$A$5:$A$28,A8)</f>
        <v/>
      </c>
      <c r="K8" s="7">
        <f>IFERROR(AVERAGEIF('Artifact Forensics'!$A$5:$A$28,A8,'Artifact Forensics'!$H$5:$H$28),0)</f>
        <v/>
      </c>
      <c r="L8" s="7">
        <f>IFERROR(AVERAGEIF('Artifact Forensics'!$A$5:$A$28,A8,'Artifact Forensics'!$I$5:$I$28),0)</f>
        <v/>
      </c>
      <c r="M8" s="7">
        <f>IFERROR(AVERAGEIF('Artifact Forensics'!$A$5:$A$28,A8,'Artifact Forensics'!$K$5:$K$28),0)</f>
        <v/>
      </c>
      <c r="N8" s="5" t="inlineStr">
        <is>
          <t>NEEDS HARDENING</t>
        </is>
      </c>
      <c r="O8" s="5" t="inlineStr">
        <is>
          <t>Artifact fitness; latency; release state</t>
        </is>
      </c>
      <c r="P8" s="5" t="inlineStr">
        <is>
          <t>Pass 2 retried after 8k truncation; handoff health 0/95.</t>
        </is>
      </c>
    </row>
    <row r="9" ht="64" customHeight="1">
      <c r="A9" s="18" t="inlineStr">
        <is>
          <t>Phase 3</t>
        </is>
      </c>
      <c r="B9" s="18" t="inlineStr">
        <is>
          <t>Synthesis + quality gates</t>
        </is>
      </c>
      <c r="C9" s="18" t="inlineStr">
        <is>
          <t>Pass 1/2 handoff; preflight; ledgers</t>
        </is>
      </c>
      <c r="D9" s="18" t="inlineStr">
        <is>
          <t>Criterion evidence and recommendations</t>
        </is>
      </c>
      <c r="E9" s="18" t="inlineStr">
        <is>
          <t>Synthesize, normalize, consistency-check and gate</t>
        </is>
      </c>
      <c r="F9" s="18" t="inlineStr">
        <is>
          <t>Author-facing integrity; consistency; Gate 15</t>
        </is>
      </c>
      <c r="G9" s="18" t="inlineStr">
        <is>
          <t>Evaluation result + 4 gate/snapshot artifacts</t>
        </is>
      </c>
      <c r="H9" s="18" t="inlineStr">
        <is>
          <t>Phase 4 certification</t>
        </is>
      </c>
      <c r="I9" s="18" t="n">
        <v>496</v>
      </c>
      <c r="J9" s="18">
        <f>COUNTIF('Artifact Forensics'!$A$5:$A$28,A9)</f>
        <v/>
      </c>
      <c r="K9" s="20">
        <f>IFERROR(AVERAGEIF('Artifact Forensics'!$A$5:$A$28,A9,'Artifact Forensics'!$H$5:$H$28),0)</f>
        <v/>
      </c>
      <c r="L9" s="20">
        <f>IFERROR(AVERAGEIF('Artifact Forensics'!$A$5:$A$28,A9,'Artifact Forensics'!$I$5:$I$28),0)</f>
        <v/>
      </c>
      <c r="M9" s="20">
        <f>IFERROR(AVERAGEIF('Artifact Forensics'!$A$5:$A$28,A9,'Artifact Forensics'!$K$5:$K$28),0)</f>
        <v/>
      </c>
      <c r="N9" s="18" t="inlineStr">
        <is>
          <t>PASS WITH FINDINGS</t>
        </is>
      </c>
      <c r="O9" s="18" t="inlineStr">
        <is>
          <t>Artifact fitness; latency; release state</t>
        </is>
      </c>
      <c r="P9" s="18" t="inlineStr">
        <is>
          <t>Former integrity escape did not recur; 0/13 safe criterion recommendations.</t>
        </is>
      </c>
    </row>
    <row r="10" ht="64" customHeight="1">
      <c r="A10" s="5" t="inlineStr">
        <is>
          <t>Phase 4</t>
        </is>
      </c>
      <c r="B10" s="5" t="inlineStr">
        <is>
          <t>Unified document + release certification</t>
        </is>
      </c>
      <c r="C10" s="5" t="inlineStr">
        <is>
          <t>Canonical evaluation result</t>
        </is>
      </c>
      <c r="D10" s="5" t="inlineStr">
        <is>
          <t>Gated criteria; hashes; render registry</t>
        </is>
      </c>
      <c r="E10" s="5" t="inlineStr">
        <is>
          <t>Build UED, prove surface parity and certify release</t>
        </is>
      </c>
      <c r="F10" s="5" t="inlineStr">
        <is>
          <t>Render manifest; author exposure certification</t>
        </is>
      </c>
      <c r="G10" s="5" t="inlineStr">
        <is>
          <t>UED; render manifest; certification</t>
        </is>
      </c>
      <c r="H10" s="5" t="inlineStr">
        <is>
          <t>Evaluate UI; Revise</t>
        </is>
      </c>
      <c r="I10" s="5" t="n">
        <v>1</v>
      </c>
      <c r="J10" s="5">
        <f>COUNTIF('Artifact Forensics'!$A$5:$A$28,A10)</f>
        <v/>
      </c>
      <c r="K10" s="7">
        <f>IFERROR(AVERAGEIF('Artifact Forensics'!$A$5:$A$28,A10,'Artifact Forensics'!$H$5:$H$28),0)</f>
        <v/>
      </c>
      <c r="L10" s="7">
        <f>IFERROR(AVERAGEIF('Artifact Forensics'!$A$5:$A$28,A10,'Artifact Forensics'!$I$5:$I$28),0)</f>
        <v/>
      </c>
      <c r="M10" s="7">
        <f>IFERROR(AVERAGEIF('Artifact Forensics'!$A$5:$A$28,A10,'Artifact Forensics'!$K$5:$K$28),0)</f>
        <v/>
      </c>
      <c r="N10" s="5" t="inlineStr">
        <is>
          <t>PASS</t>
        </is>
      </c>
      <c r="O10" s="5" t="inlineStr">
        <is>
          <t>Artifact fitness; latency; release state</t>
        </is>
      </c>
      <c r="P10" s="5" t="inlineStr">
        <is>
          <t>Canonical ledger explicitly present with opportunities: [].</t>
        </is>
      </c>
    </row>
    <row r="11" ht="64" customHeight="1">
      <c r="A11" s="18" t="inlineStr">
        <is>
          <t>Phase 5</t>
        </is>
      </c>
      <c r="B11" s="18" t="inlineStr">
        <is>
          <t>Revise projection + Workbench</t>
        </is>
      </c>
      <c r="C11" s="18" t="inlineStr">
        <is>
          <t>Certified UED; canonical ledger</t>
        </is>
      </c>
      <c r="D11" s="18" t="inlineStr">
        <is>
          <t>Present empty canonical authority</t>
        </is>
      </c>
      <c r="E11" s="18" t="inlineStr">
        <is>
          <t>Persist ledger and project Workbench queue</t>
        </is>
      </c>
      <c r="F11" s="18" t="inlineStr">
        <is>
          <t>Missing/malformed fail closed; empty accepted</t>
        </is>
      </c>
      <c r="G11" s="18" t="inlineStr">
        <is>
          <t>Durable empty ledger; valid empty Workbench</t>
        </is>
      </c>
      <c r="H11" s="18" t="inlineStr">
        <is>
          <t>Editor</t>
        </is>
      </c>
      <c r="I11" s="18" t="n">
        <v>0</v>
      </c>
      <c r="J11" s="18">
        <f>COUNTIF('Artifact Forensics'!$A$5:$A$28,A11)</f>
        <v/>
      </c>
      <c r="K11" s="20">
        <f>IFERROR(AVERAGEIF('Artifact Forensics'!$A$5:$A$28,A11,'Artifact Forensics'!$H$5:$H$28),0)</f>
        <v/>
      </c>
      <c r="L11" s="20">
        <f>IFERROR(AVERAGEIF('Artifact Forensics'!$A$5:$A$28,A11,'Artifact Forensics'!$I$5:$I$28),0)</f>
        <v/>
      </c>
      <c r="M11" s="20">
        <f>IFERROR(AVERAGEIF('Artifact Forensics'!$A$5:$A$28,A11,'Artifact Forensics'!$K$5:$K$28),0)</f>
        <v/>
      </c>
      <c r="N11" s="18" t="inlineStr">
        <is>
          <t>PASS</t>
        </is>
      </c>
      <c r="O11" s="18" t="inlineStr">
        <is>
          <t>Artifact fitness; latency; release state</t>
        </is>
      </c>
      <c r="P11" s="18" t="inlineStr">
        <is>
          <t>Reload preserved same ledger row; no duplicates; decision N/A.</t>
        </is>
      </c>
    </row>
    <row r="12" ht="64" customHeight="1">
      <c r="A12" s="6" t="inlineStr">
        <is>
          <t>Held Recovery</t>
        </is>
      </c>
      <c r="B12" s="6" t="inlineStr">
        <is>
          <t>Reconstruction + identity-only Readmission</t>
        </is>
      </c>
      <c r="C12" s="6" t="inlineStr">
        <is>
          <t>Held item; canonical persisted anchor</t>
        </is>
      </c>
      <c r="D12" s="6" t="inlineStr">
        <is>
          <t>Recoverable truncated anchor</t>
        </is>
      </c>
      <c r="E12" s="6" t="inlineStr">
        <is>
          <t>Reconstruct, verify, Readmit and project</t>
        </is>
      </c>
      <c r="F12" s="6" t="inlineStr">
        <is>
          <t>Exact-job feature gate; version/fingerprint checks</t>
        </is>
      </c>
      <c r="G12" s="6" t="inlineStr">
        <is>
          <t>Hydrated recovered Workbench card</t>
        </is>
      </c>
      <c r="H12" s="6" t="inlineStr">
        <is>
          <t>Editor</t>
        </is>
      </c>
      <c r="I12" s="6" t="n">
        <v>0</v>
      </c>
      <c r="J12" s="6" t="n">
        <v>0</v>
      </c>
      <c r="K12" s="8" t="n">
        <v>0</v>
      </c>
      <c r="L12" s="8" t="n">
        <v>0</v>
      </c>
      <c r="M12" s="8" t="n">
        <v>0</v>
      </c>
      <c r="N12" s="6" t="inlineStr">
        <is>
          <t>UNPROVEN</t>
        </is>
      </c>
      <c r="O12" s="6" t="inlineStr">
        <is>
          <t>Artifact fitness; latency; release state</t>
        </is>
      </c>
      <c r="P12" s="6" t="inlineStr">
        <is>
          <t>This manuscript produced zero held items, so the branch did not execute.</t>
        </is>
      </c>
    </row>
  </sheetData>
  <mergeCells count="2">
    <mergeCell ref="A1:P1"/>
    <mergeCell ref="A2:P2"/>
  </mergeCells>
  <conditionalFormatting sqref="K5:M12">
    <cfRule type="cellIs" priority="1" operator="lessThan" dxfId="11">
      <formula>0.7</formula>
    </cfRule>
    <cfRule type="cellIs" priority="2" operator="between" dxfId="10">
      <formula>0.7</formula>
      <formula>0.8499</formula>
    </cfRule>
    <cfRule type="cellIs" priority="3" operator="greaterThanOrEqual" dxfId="9">
      <formula>0.85</formula>
    </cfRule>
  </conditionalFormatting>
  <conditionalFormatting sqref="N5:N12">
    <cfRule type="containsText" priority="4" operator="containsText" dxfId="2" text="PASS"/>
    <cfRule type="containsText" priority="5" operator="containsText" dxfId="1" text="NEEDS"/>
    <cfRule type="containsText" priority="6" operator="containsText" dxfId="0" text="UNPROVEN"/>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3.80000019073486"/>
  <cols>
    <col width="13" customWidth="1" min="1" max="2"/>
    <col width="29" customWidth="1" min="3" max="3"/>
    <col width="13" customWidth="1" min="4" max="11"/>
    <col width="46" customWidth="1" min="12" max="12"/>
    <col width="37" customWidth="1" min="13" max="13"/>
    <col width="23" customWidth="1" min="14" max="14"/>
  </cols>
  <sheetData>
    <row r="1" ht="34" customHeight="1">
      <c r="A1" s="62" t="inlineStr">
        <is>
          <t>Artifact Forensics</t>
        </is>
      </c>
    </row>
    <row r="2" ht="32.04999923706055" customHeight="1">
      <c r="A2" s="63" t="inlineStr">
        <is>
          <t>Acceptability = 40% completeness + 35% quality + 25% contract health. This measures evidence/contract fitness, not literary merit.</t>
        </is>
      </c>
    </row>
    <row r="4" ht="34" customHeight="1">
      <c r="A4" s="1" t="inlineStr">
        <is>
          <t>Phase</t>
        </is>
      </c>
      <c r="B4" s="2" t="inlineStr">
        <is>
          <t>Pass / process</t>
        </is>
      </c>
      <c r="C4" s="2" t="inlineStr">
        <is>
          <t>Artifact</t>
        </is>
      </c>
      <c r="D4" s="2" t="inlineStr">
        <is>
          <t>Content type</t>
        </is>
      </c>
      <c r="E4" s="2" t="inlineStr">
        <is>
          <t>Bytes</t>
        </is>
      </c>
      <c r="F4" s="2" t="inlineStr">
        <is>
          <t>Source hash</t>
        </is>
      </c>
      <c r="G4" s="2" t="inlineStr">
        <is>
          <t>Fields</t>
        </is>
      </c>
      <c r="H4" s="2" t="inlineStr">
        <is>
          <t>Completeness</t>
        </is>
      </c>
      <c r="I4" s="2" t="inlineStr">
        <is>
          <t>Quality</t>
        </is>
      </c>
      <c r="J4" s="2" t="inlineStr">
        <is>
          <t>Contract health</t>
        </is>
      </c>
      <c r="K4" s="2" t="inlineStr">
        <is>
          <t>% acceptable</t>
        </is>
      </c>
      <c r="L4" s="2" t="inlineStr">
        <is>
          <t>Forensic finding</t>
        </is>
      </c>
      <c r="M4" s="2" t="inlineStr">
        <is>
          <t>Evidence ID</t>
        </is>
      </c>
      <c r="N4" s="3" t="inlineStr">
        <is>
          <t>Persisted (UTC)</t>
        </is>
      </c>
    </row>
    <row r="5" ht="38.04999923706055" customHeight="1">
      <c r="A5" s="14" t="inlineStr">
        <is>
          <t>Phase 0</t>
        </is>
      </c>
      <c r="B5" s="14" t="inlineStr">
        <is>
          <t>Seed generation</t>
        </is>
      </c>
      <c r="C5" s="14" t="inlineStr">
        <is>
          <t>story_map_seed_v1</t>
        </is>
      </c>
      <c r="D5" s="14" t="inlineStr">
        <is>
          <t>object</t>
        </is>
      </c>
      <c r="E5" s="15" t="n">
        <v>8620</v>
      </c>
      <c r="F5" s="15" t="inlineStr">
        <is>
          <t>Yes</t>
        </is>
      </c>
      <c r="G5" s="15" t="n">
        <v>9</v>
      </c>
      <c r="H5" s="16" t="n">
        <v>0.7</v>
      </c>
      <c r="I5" s="16" t="n">
        <v>0.55</v>
      </c>
      <c r="J5" s="16" t="n">
        <v>0</v>
      </c>
      <c r="K5" s="16">
        <f>ROUND(H5*0.4+I5*0.35+J5*0.25,3)</f>
        <v/>
      </c>
      <c r="L5" s="14" t="inlineStr">
        <is>
          <t>Health 0/95: candidate entity, alias and relationship fields absent.</t>
        </is>
      </c>
      <c r="M5" s="14" t="inlineStr">
        <is>
          <t>8e27bdfe-d350-4181-af60-0873e2362322</t>
        </is>
      </c>
      <c r="N5" s="17" t="n">
        <v>46223.01226790509</v>
      </c>
    </row>
    <row r="6" ht="38.04999923706055" customHeight="1">
      <c r="A6" s="5" t="inlineStr">
        <is>
          <t>Phase 0</t>
        </is>
      </c>
      <c r="B6" s="5" t="inlineStr">
        <is>
          <t>Seed generation</t>
        </is>
      </c>
      <c r="C6" s="5" t="inlineStr">
        <is>
          <t>evaluation_seed_v1</t>
        </is>
      </c>
      <c r="D6" s="5" t="inlineStr">
        <is>
          <t>object</t>
        </is>
      </c>
      <c r="E6" s="9" t="n">
        <v>7986</v>
      </c>
      <c r="F6" s="9" t="inlineStr">
        <is>
          <t>Yes</t>
        </is>
      </c>
      <c r="G6" s="9" t="n">
        <v>12</v>
      </c>
      <c r="H6" s="7" t="n">
        <v>0.75</v>
      </c>
      <c r="I6" s="7" t="n">
        <v>0.6</v>
      </c>
      <c r="J6" s="7" t="n">
        <v>0</v>
      </c>
      <c r="K6" s="7">
        <f>ROUND(H6*0.4+I6*0.35+J6*0.25,3)</f>
        <v/>
      </c>
      <c r="L6" s="5" t="inlineStr">
        <is>
          <t>Health 0/95: likely strengths, risks and known targets absent.</t>
        </is>
      </c>
      <c r="M6" s="5" t="inlineStr">
        <is>
          <t>320a3888-fbc5-4906-9b04-13c7a903e87a</t>
        </is>
      </c>
      <c r="N6" s="11" t="n">
        <v>46223.01226868056</v>
      </c>
    </row>
    <row r="7" ht="38.04999923706055" customHeight="1">
      <c r="A7" s="18" t="inlineStr">
        <is>
          <t>Phase 0</t>
        </is>
      </c>
      <c r="B7" s="18" t="inlineStr">
        <is>
          <t>Fit-gap validation</t>
        </is>
      </c>
      <c r="C7" s="18" t="inlineStr">
        <is>
          <t>seed_fit_gap_report_v1</t>
        </is>
      </c>
      <c r="D7" s="18" t="inlineStr">
        <is>
          <t>object</t>
        </is>
      </c>
      <c r="E7" s="19" t="n">
        <v>174</v>
      </c>
      <c r="F7" s="19" t="inlineStr">
        <is>
          <t>Yes</t>
        </is>
      </c>
      <c r="G7" s="19" t="n">
        <v>5</v>
      </c>
      <c r="H7" s="20" t="n">
        <v>0.45</v>
      </c>
      <c r="I7" s="20" t="n">
        <v>0.4</v>
      </c>
      <c r="J7" s="20" t="n">
        <v>0.34</v>
      </c>
      <c r="K7" s="20">
        <f>ROUND(H7*0.4+I7*0.35+J7*0.25,3)</f>
        <v/>
      </c>
      <c r="L7" s="18" t="inlineStr">
        <is>
          <t>Health 32/95: passed with zero gaps but expected gap detail/severity fields absent.</t>
        </is>
      </c>
      <c r="M7" s="18" t="inlineStr">
        <is>
          <t>d793f5c4-3d90-42be-b93a-42bb58d90d19</t>
        </is>
      </c>
      <c r="N7" s="21" t="n">
        <v>46223.01226908565</v>
      </c>
    </row>
    <row r="8" ht="38.04999923706055" customHeight="1">
      <c r="A8" s="5" t="inlineStr">
        <is>
          <t>Phase 1</t>
        </is>
      </c>
      <c r="B8" s="5" t="inlineStr">
        <is>
          <t>Full-context story analysis</t>
        </is>
      </c>
      <c r="C8" s="5" t="inlineStr">
        <is>
          <t>full_context_story_ledger_v1</t>
        </is>
      </c>
      <c r="D8" s="5" t="inlineStr">
        <is>
          <t>object</t>
        </is>
      </c>
      <c r="E8" s="9" t="n">
        <v>42490</v>
      </c>
      <c r="F8" s="9" t="inlineStr">
        <is>
          <t>No</t>
        </is>
      </c>
      <c r="G8" s="9" t="n">
        <v>12</v>
      </c>
      <c r="H8" s="7" t="n">
        <v>0.9</v>
      </c>
      <c r="I8" s="7" t="n">
        <v>0.86</v>
      </c>
      <c r="J8" s="7" t="n">
        <v>0.9</v>
      </c>
      <c r="K8" s="7">
        <f>ROUND(H8*0.4+I8*0.35+J8*0.25,3)</f>
        <v/>
      </c>
      <c r="L8" s="5" t="inlineStr">
        <is>
          <t>Rich canonical facts/layers; persisted without a source_hash.</t>
        </is>
      </c>
      <c r="M8" s="5" t="inlineStr">
        <is>
          <t>6779a60d-c4a8-4dc0-b74f-2bd2b4fec5bf</t>
        </is>
      </c>
      <c r="N8" s="11" t="n">
        <v>46223.01389864583</v>
      </c>
    </row>
    <row r="9" ht="38.04999923706055" customHeight="1">
      <c r="A9" s="18" t="inlineStr">
        <is>
          <t>Phase 1</t>
        </is>
      </c>
      <c r="B9" s="18" t="inlineStr">
        <is>
          <t>Editorial dream</t>
        </is>
      </c>
      <c r="C9" s="18" t="inlineStr">
        <is>
          <t>editorial_dream_seed_v1</t>
        </is>
      </c>
      <c r="D9" s="18" t="inlineStr">
        <is>
          <t>object</t>
        </is>
      </c>
      <c r="E9" s="19" t="n">
        <v>35528</v>
      </c>
      <c r="F9" s="19" t="inlineStr">
        <is>
          <t>No</t>
        </is>
      </c>
      <c r="G9" s="19" t="n">
        <v>19</v>
      </c>
      <c r="H9" s="20" t="n">
        <v>0.9</v>
      </c>
      <c r="I9" s="20" t="n">
        <v>0.86</v>
      </c>
      <c r="J9" s="20" t="n">
        <v>0.9</v>
      </c>
      <c r="K9" s="20">
        <f>ROUND(H9*0.4+I9*0.35+J9*0.25,3)</f>
        <v/>
      </c>
      <c r="L9" s="18" t="inlineStr">
        <is>
          <t>Broad diagnostic content; persisted without a source_hash.</t>
        </is>
      </c>
      <c r="M9" s="18" t="inlineStr">
        <is>
          <t>05ec647d-80f4-486a-bbd7-d3fad86cec29</t>
        </is>
      </c>
      <c r="N9" s="21" t="n">
        <v>46223.0149615162</v>
      </c>
    </row>
    <row r="10" ht="38.04999923706055" customHeight="1">
      <c r="A10" s="5" t="inlineStr">
        <is>
          <t>Phase 1A</t>
        </is>
      </c>
      <c r="B10" s="5" t="inlineStr">
        <is>
          <t>Chunk routing</t>
        </is>
      </c>
      <c r="C10" s="5" t="inlineStr">
        <is>
          <t>phase1a_chunk_routing_manifest_v1</t>
        </is>
      </c>
      <c r="D10" s="5" t="inlineStr">
        <is>
          <t>object</t>
        </is>
      </c>
      <c r="E10" s="9" t="n">
        <v>231</v>
      </c>
      <c r="F10" s="9" t="inlineStr">
        <is>
          <t>Yes</t>
        </is>
      </c>
      <c r="G10" s="9" t="n">
        <v>6</v>
      </c>
      <c r="H10" s="7" t="n">
        <v>0.55</v>
      </c>
      <c r="I10" s="7" t="n">
        <v>0.5</v>
      </c>
      <c r="J10" s="7" t="n">
        <v>0</v>
      </c>
      <c r="K10" s="7">
        <f>ROUND(H10*0.4+I10*0.35+J10*0.25,3)</f>
        <v/>
      </c>
      <c r="L10" s="5" t="inlineStr">
        <is>
          <t>Health 0/95: expected route, chunk_count, word_count and chunks fields absent.</t>
        </is>
      </c>
      <c r="M10" s="5" t="inlineStr">
        <is>
          <t>34a4386b-2f5d-4846-989f-6026ce20411e</t>
        </is>
      </c>
      <c r="N10" s="11" t="n">
        <v>46223.0149627662</v>
      </c>
    </row>
    <row r="11" ht="38.04999923706055" customHeight="1">
      <c r="A11" s="18" t="inlineStr">
        <is>
          <t>Phase 1A</t>
        </is>
      </c>
      <c r="B11" s="18" t="inlineStr">
        <is>
          <t>Preflight reduction</t>
        </is>
      </c>
      <c r="C11" s="18" t="inlineStr">
        <is>
          <t>pass3_preflight_draft_v1</t>
        </is>
      </c>
      <c r="D11" s="18" t="inlineStr">
        <is>
          <t>object</t>
        </is>
      </c>
      <c r="E11" s="19" t="n">
        <v>13586</v>
      </c>
      <c r="F11" s="19" t="inlineStr">
        <is>
          <t>Yes</t>
        </is>
      </c>
      <c r="G11" s="19" t="n">
        <v>13</v>
      </c>
      <c r="H11" s="20" t="n">
        <v>0.75</v>
      </c>
      <c r="I11" s="20" t="n">
        <v>0.7</v>
      </c>
      <c r="J11" s="20" t="n">
        <v>0.53</v>
      </c>
      <c r="K11" s="20">
        <f>ROUND(H11*0.4+I11*0.35+J11*0.25,3)</f>
        <v/>
      </c>
      <c r="L11" s="18" t="inlineStr">
        <is>
          <t>Health 50/95: expected observations surface incomplete.</t>
        </is>
      </c>
      <c r="M11" s="18" t="inlineStr">
        <is>
          <t>a6b91753-54b0-4fc3-b6d2-a55624f4a8e8</t>
        </is>
      </c>
      <c r="N11" s="21" t="n">
        <v>46223.01564844907</v>
      </c>
    </row>
    <row r="12" ht="38.04999923706055" customHeight="1">
      <c r="A12" s="5" t="inlineStr">
        <is>
          <t>Phase 1A</t>
        </is>
      </c>
      <c r="B12" s="5" t="inlineStr">
        <is>
          <t>Chunk cache</t>
        </is>
      </c>
      <c r="C12" s="5" t="inlineStr">
        <is>
          <t>pass1a_chunk_cache_v1</t>
        </is>
      </c>
      <c r="D12" s="5" t="inlineStr">
        <is>
          <t>object</t>
        </is>
      </c>
      <c r="E12" s="9" t="n">
        <v>41827</v>
      </c>
      <c r="F12" s="9" t="inlineStr">
        <is>
          <t>Yes</t>
        </is>
      </c>
      <c r="G12" s="9" t="n">
        <v>5</v>
      </c>
      <c r="H12" s="7" t="n">
        <v>0.75</v>
      </c>
      <c r="I12" s="7" t="n">
        <v>0.7</v>
      </c>
      <c r="J12" s="7" t="n">
        <v>0.53</v>
      </c>
      <c r="K12" s="7">
        <f>ROUND(H12*0.4+I12*0.35+J12*0.25,3)</f>
        <v/>
      </c>
      <c r="L12" s="5" t="inlineStr">
        <is>
          <t>Health 50/95: cache persisted but observations health contract incomplete.</t>
        </is>
      </c>
      <c r="M12" s="5" t="inlineStr">
        <is>
          <t>b936262f-801a-44c8-ac25-3943ef12b012</t>
        </is>
      </c>
      <c r="N12" s="11" t="n">
        <v>46223.01585001157</v>
      </c>
    </row>
    <row r="13" ht="38.04999923706055" customHeight="1">
      <c r="A13" s="18" t="inlineStr">
        <is>
          <t>Phase 1A</t>
        </is>
      </c>
      <c r="B13" s="18" t="inlineStr">
        <is>
          <t>Character ledger</t>
        </is>
      </c>
      <c r="C13" s="18" t="inlineStr">
        <is>
          <t>pass1a_character_ledger_v1</t>
        </is>
      </c>
      <c r="D13" s="18" t="inlineStr">
        <is>
          <t>object</t>
        </is>
      </c>
      <c r="E13" s="19" t="n">
        <v>66309</v>
      </c>
      <c r="F13" s="19" t="inlineStr">
        <is>
          <t>Yes</t>
        </is>
      </c>
      <c r="G13" s="19" t="n">
        <v>10</v>
      </c>
      <c r="H13" s="20" t="n">
        <v>0.95</v>
      </c>
      <c r="I13" s="20" t="n">
        <v>0.9</v>
      </c>
      <c r="J13" s="20" t="n">
        <v>0.95</v>
      </c>
      <c r="K13" s="20">
        <f>ROUND(H13*0.4+I13*0.35+J13*0.25,3)</f>
        <v/>
      </c>
      <c r="L13" s="18" t="inlineStr">
        <is>
          <t>Two chunks processed; coverage and pipeline statistics present.</t>
        </is>
      </c>
      <c r="M13" s="18" t="inlineStr">
        <is>
          <t>3a455c7a-53bb-4b41-8b09-fddc11e28710</t>
        </is>
      </c>
      <c r="N13" s="21" t="n">
        <v>46223.01651210648</v>
      </c>
    </row>
    <row r="14" ht="38.04999923706055" customHeight="1">
      <c r="A14" s="5" t="inlineStr">
        <is>
          <t>Phase 1A</t>
        </is>
      </c>
      <c r="B14" s="5" t="inlineStr">
        <is>
          <t>Story layer</t>
        </is>
      </c>
      <c r="C14" s="5" t="inlineStr">
        <is>
          <t>pass1a_story_layer_v1</t>
        </is>
      </c>
      <c r="D14" s="5" t="inlineStr">
        <is>
          <t>object</t>
        </is>
      </c>
      <c r="E14" s="9" t="n">
        <v>70592</v>
      </c>
      <c r="F14" s="9" t="inlineStr">
        <is>
          <t>Yes</t>
        </is>
      </c>
      <c r="G14" s="9" t="n">
        <v>11</v>
      </c>
      <c r="H14" s="7" t="n">
        <v>0.95</v>
      </c>
      <c r="I14" s="7" t="n">
        <v>0.9</v>
      </c>
      <c r="J14" s="7" t="n">
        <v>1</v>
      </c>
      <c r="K14" s="7">
        <f>ROUND(H14*0.4+I14*0.35+J14*0.25,3)</f>
        <v/>
      </c>
      <c r="L14" s="5" t="inlineStr">
        <is>
          <t>Identity, version and hash fields present; accepted downstream.</t>
        </is>
      </c>
      <c r="M14" s="5" t="inlineStr">
        <is>
          <t>18365163-9d86-4fe4-a6d3-290a2cd7b3c0</t>
        </is>
      </c>
      <c r="N14" s="11" t="n">
        <v>46223.01651353009</v>
      </c>
    </row>
    <row r="15" ht="38.04999923706055" customHeight="1">
      <c r="A15" s="18" t="inlineStr">
        <is>
          <t>Phase 1A</t>
        </is>
      </c>
      <c r="B15" s="18" t="inlineStr">
        <is>
          <t>Ledger quality gate</t>
        </is>
      </c>
      <c r="C15" s="18" t="inlineStr">
        <is>
          <t>ledger_quality_report_v1</t>
        </is>
      </c>
      <c r="D15" s="18" t="inlineStr">
        <is>
          <t>object</t>
        </is>
      </c>
      <c r="E15" s="19" t="n">
        <v>2938</v>
      </c>
      <c r="F15" s="19" t="inlineStr">
        <is>
          <t>Yes</t>
        </is>
      </c>
      <c r="G15" s="19" t="n">
        <v>12</v>
      </c>
      <c r="H15" s="20" t="n">
        <v>0.95</v>
      </c>
      <c r="I15" s="20" t="n">
        <v>0.92</v>
      </c>
      <c r="J15" s="20" t="n">
        <v>1</v>
      </c>
      <c r="K15" s="20">
        <f>ROUND(H15*0.4+I15*0.35+J15*0.25,3)</f>
        <v/>
      </c>
      <c r="L15" s="18" t="inlineStr">
        <is>
          <t>Quality report persisted and accepted ledger followed.</t>
        </is>
      </c>
      <c r="M15" s="18" t="inlineStr">
        <is>
          <t>26250213-dbfb-4199-b9d3-18b3c5ebddf9</t>
        </is>
      </c>
      <c r="N15" s="21" t="n">
        <v>46223.01651601852</v>
      </c>
    </row>
    <row r="16" ht="38.04999923706055" customHeight="1">
      <c r="A16" s="5" t="inlineStr">
        <is>
          <t>Phase 1A</t>
        </is>
      </c>
      <c r="B16" s="5" t="inlineStr">
        <is>
          <t>Accepted story authority</t>
        </is>
      </c>
      <c r="C16" s="5" t="inlineStr">
        <is>
          <t>accepted_story_ledger_v1</t>
        </is>
      </c>
      <c r="D16" s="5" t="inlineStr">
        <is>
          <t>object</t>
        </is>
      </c>
      <c r="E16" s="9" t="n">
        <v>72197</v>
      </c>
      <c r="F16" s="9" t="inlineStr">
        <is>
          <t>Yes</t>
        </is>
      </c>
      <c r="G16" s="9" t="n">
        <v>10</v>
      </c>
      <c r="H16" s="7" t="n">
        <v>0.95</v>
      </c>
      <c r="I16" s="7" t="n">
        <v>0.92</v>
      </c>
      <c r="J16" s="7" t="n">
        <v>1</v>
      </c>
      <c r="K16" s="7">
        <f>ROUND(H16*0.4+I16*0.35+J16*0.25,3)</f>
        <v/>
      </c>
      <c r="L16" s="5" t="inlineStr">
        <is>
          <t>Governed accepted ledger with source identity and layer audit.</t>
        </is>
      </c>
      <c r="M16" s="5" t="inlineStr">
        <is>
          <t>165a3982-4217-465d-a04d-3da84d5964d8</t>
        </is>
      </c>
      <c r="N16" s="11" t="n">
        <v>46223.01652181713</v>
      </c>
    </row>
    <row r="17" ht="38.04999923706055" customHeight="1">
      <c r="A17" s="18" t="inlineStr">
        <is>
          <t>Phase 2</t>
        </is>
      </c>
      <c r="B17" s="18" t="inlineStr">
        <is>
          <t>Pass 1 cache</t>
        </is>
      </c>
      <c r="C17" s="18" t="inlineStr">
        <is>
          <t>pass1_chunk_cache_v1</t>
        </is>
      </c>
      <c r="D17" s="18" t="inlineStr">
        <is>
          <t>object</t>
        </is>
      </c>
      <c r="E17" s="19" t="n">
        <v>8230</v>
      </c>
      <c r="F17" s="19" t="inlineStr">
        <is>
          <t>No</t>
        </is>
      </c>
      <c r="G17" s="19" t="n">
        <v>5</v>
      </c>
      <c r="H17" s="20" t="n">
        <v>0.8</v>
      </c>
      <c r="I17" s="20" t="n">
        <v>0.8</v>
      </c>
      <c r="J17" s="20" t="n">
        <v>0.9</v>
      </c>
      <c r="K17" s="20">
        <f>ROUND(H17*0.4+I17*0.35+J17*0.25,3)</f>
        <v/>
      </c>
      <c r="L17" s="18" t="inlineStr">
        <is>
          <t>Complete cache persisted; row source_hash missing.</t>
        </is>
      </c>
      <c r="M17" s="18" t="inlineStr">
        <is>
          <t>7f508d7e-87fb-413a-95a7-7557482b08f1</t>
        </is>
      </c>
      <c r="N17" s="21" t="n">
        <v>46223.01791466435</v>
      </c>
    </row>
    <row r="18" ht="38.04999923706055" customHeight="1">
      <c r="A18" s="5" t="inlineStr">
        <is>
          <t>Phase 2</t>
        </is>
      </c>
      <c r="B18" s="5" t="inlineStr">
        <is>
          <t>Pass 2 cache</t>
        </is>
      </c>
      <c r="C18" s="5" t="inlineStr">
        <is>
          <t>pass2_chunk_cache_v1</t>
        </is>
      </c>
      <c r="D18" s="5" t="inlineStr">
        <is>
          <t>object</t>
        </is>
      </c>
      <c r="E18" s="9" t="n">
        <v>17904</v>
      </c>
      <c r="F18" s="9" t="inlineStr">
        <is>
          <t>No</t>
        </is>
      </c>
      <c r="G18" s="9" t="n">
        <v>5</v>
      </c>
      <c r="H18" s="7" t="n">
        <v>0.8</v>
      </c>
      <c r="I18" s="7" t="n">
        <v>0.72</v>
      </c>
      <c r="J18" s="7" t="n">
        <v>0.85</v>
      </c>
      <c r="K18" s="7">
        <f>ROUND(H18*0.4+I18*0.35+J18*0.25,3)</f>
        <v/>
      </c>
      <c r="L18" s="5" t="inlineStr">
        <is>
          <t>Completed after an 8k output-limit retry at 12k; row source_hash missing.</t>
        </is>
      </c>
      <c r="M18" s="5" t="inlineStr">
        <is>
          <t>46e37a6b-476c-42c7-972c-dd4583edc3ad</t>
        </is>
      </c>
      <c r="N18" s="11" t="n">
        <v>46223.01791466435</v>
      </c>
    </row>
    <row r="19" ht="38.04999923706055" customHeight="1">
      <c r="A19" s="18" t="inlineStr">
        <is>
          <t>Phase 2</t>
        </is>
      </c>
      <c r="B19" s="18" t="inlineStr">
        <is>
          <t>Pass 1→2 handoff</t>
        </is>
      </c>
      <c r="C19" s="18" t="inlineStr">
        <is>
          <t>pass12_handoff_v1</t>
        </is>
      </c>
      <c r="D19" s="18" t="inlineStr">
        <is>
          <t>object</t>
        </is>
      </c>
      <c r="E19" s="19" t="n">
        <v>15765</v>
      </c>
      <c r="F19" s="19" t="inlineStr">
        <is>
          <t>Yes</t>
        </is>
      </c>
      <c r="G19" s="19" t="n">
        <v>5</v>
      </c>
      <c r="H19" s="20" t="n">
        <v>0.6</v>
      </c>
      <c r="I19" s="20" t="n">
        <v>0.6</v>
      </c>
      <c r="J19" s="20" t="n">
        <v>0</v>
      </c>
      <c r="K19" s="20">
        <f>ROUND(H19*0.4+I19*0.35+J19*0.25,3)</f>
        <v/>
      </c>
      <c r="L19" s="18" t="inlineStr">
        <is>
          <t>Health 0/95: expected certified_payload and prose_quality_certification absent.</t>
        </is>
      </c>
      <c r="M19" s="18" t="inlineStr">
        <is>
          <t>0eb1d26e-5944-4ca2-b951-10198d3e6fe6</t>
        </is>
      </c>
      <c r="N19" s="21" t="n">
        <v>46223.01791627315</v>
      </c>
    </row>
    <row r="20" ht="38.04999923706055" customHeight="1">
      <c r="A20" s="5" t="inlineStr">
        <is>
          <t>Phase 3</t>
        </is>
      </c>
      <c r="B20" s="5" t="inlineStr">
        <is>
          <t>Post-quality-gate snapshot</t>
        </is>
      </c>
      <c r="C20" s="5" t="inlineStr">
        <is>
          <t>post_qg_effective_snapshot_v1</t>
        </is>
      </c>
      <c r="D20" s="5" t="inlineStr">
        <is>
          <t>object</t>
        </is>
      </c>
      <c r="E20" s="9" t="n">
        <v>83648</v>
      </c>
      <c r="F20" s="9" t="inlineStr">
        <is>
          <t>Yes</t>
        </is>
      </c>
      <c r="G20" s="9" t="n">
        <v>13</v>
      </c>
      <c r="H20" s="7" t="n">
        <v>0.95</v>
      </c>
      <c r="I20" s="7" t="n">
        <v>0.9</v>
      </c>
      <c r="J20" s="7" t="n">
        <v>1</v>
      </c>
      <c r="K20" s="7">
        <f>ROUND(H20*0.4+I20*0.35+J20*0.25,3)</f>
        <v/>
      </c>
      <c r="L20" s="5" t="inlineStr">
        <is>
          <t>Canonical criteria and zero-opportunity result persisted.</t>
        </is>
      </c>
      <c r="M20" s="5" t="inlineStr">
        <is>
          <t>f206afdb-ecc6-4f9c-aa57-44aa5c52d0a8</t>
        </is>
      </c>
      <c r="N20" s="11" t="n">
        <v>46223.02365032407</v>
      </c>
    </row>
    <row r="21" ht="38.04999923706055" customHeight="1">
      <c r="A21" s="18" t="inlineStr">
        <is>
          <t>Phase 3</t>
        </is>
      </c>
      <c r="B21" s="18" t="inlineStr">
        <is>
          <t>Summary consistency gate</t>
        </is>
      </c>
      <c r="C21" s="18" t="inlineStr">
        <is>
          <t>summary_criterion_consistency_v1</t>
        </is>
      </c>
      <c r="D21" s="18" t="inlineStr">
        <is>
          <t>object</t>
        </is>
      </c>
      <c r="E21" s="19" t="n">
        <v>288</v>
      </c>
      <c r="F21" s="19" t="inlineStr">
        <is>
          <t>Yes</t>
        </is>
      </c>
      <c r="G21" s="19" t="n">
        <v>8</v>
      </c>
      <c r="H21" s="20" t="n">
        <v>1</v>
      </c>
      <c r="I21" s="20" t="n">
        <v>1</v>
      </c>
      <c r="J21" s="20" t="n">
        <v>1</v>
      </c>
      <c r="K21" s="20">
        <f>ROUND(H21*0.4+I21*0.35+J21*0.25,3)</f>
        <v/>
      </c>
      <c r="L21" s="18" t="inlineStr">
        <is>
          <t>Nonblocking consistency evidence persisted.</t>
        </is>
      </c>
      <c r="M21" s="18" t="inlineStr">
        <is>
          <t>3b6273b6-553a-421b-b0ca-499fd6f2ff5b</t>
        </is>
      </c>
      <c r="N21" s="21" t="n">
        <v>46223.02365114584</v>
      </c>
    </row>
    <row r="22" ht="38.04999923706055" customHeight="1">
      <c r="A22" s="5" t="inlineStr">
        <is>
          <t>Phase 3</t>
        </is>
      </c>
      <c r="B22" s="5" t="inlineStr">
        <is>
          <t>Artifact consistency gate</t>
        </is>
      </c>
      <c r="C22" s="5" t="inlineStr">
        <is>
          <t>artifact_consistency_gate_v1</t>
        </is>
      </c>
      <c r="D22" s="5" t="inlineStr">
        <is>
          <t>object</t>
        </is>
      </c>
      <c r="E22" s="9" t="n">
        <v>910</v>
      </c>
      <c r="F22" s="9" t="inlineStr">
        <is>
          <t>Yes</t>
        </is>
      </c>
      <c r="G22" s="9" t="n">
        <v>11</v>
      </c>
      <c r="H22" s="7" t="n">
        <v>1</v>
      </c>
      <c r="I22" s="7" t="n">
        <v>1</v>
      </c>
      <c r="J22" s="7" t="n">
        <v>1</v>
      </c>
      <c r="K22" s="7">
        <f>ROUND(H22*0.4+I22*0.35+J22*0.25,3)</f>
        <v/>
      </c>
      <c r="L22" s="5" t="inlineStr">
        <is>
          <t>Invariant checks and status persisted.</t>
        </is>
      </c>
      <c r="M22" s="5" t="inlineStr">
        <is>
          <t>aa465df8-c3f5-499a-87d7-972ea2efaf7a</t>
        </is>
      </c>
      <c r="N22" s="11" t="n">
        <v>46223.02365149306</v>
      </c>
    </row>
    <row r="23" ht="38.04999923706055" customHeight="1">
      <c r="A23" s="18" t="inlineStr">
        <is>
          <t>Phase 3</t>
        </is>
      </c>
      <c r="B23" s="18" t="inlineStr">
        <is>
          <t>Gate 15 audit</t>
        </is>
      </c>
      <c r="C23" s="18" t="inlineStr">
        <is>
          <t>gate_15_audit_v1</t>
        </is>
      </c>
      <c r="D23" s="18" t="inlineStr">
        <is>
          <t>object</t>
        </is>
      </c>
      <c r="E23" s="19" t="n">
        <v>1119</v>
      </c>
      <c r="F23" s="19" t="inlineStr">
        <is>
          <t>Yes</t>
        </is>
      </c>
      <c r="G23" s="19" t="n">
        <v>14</v>
      </c>
      <c r="H23" s="20" t="n">
        <v>0.95</v>
      </c>
      <c r="I23" s="20" t="n">
        <v>0.9</v>
      </c>
      <c r="J23" s="20" t="n">
        <v>0.95</v>
      </c>
      <c r="K23" s="20">
        <f>ROUND(H23*0.4+I23*0.35+J23*0.25,3)</f>
        <v/>
      </c>
      <c r="L23" s="18" t="inlineStr">
        <is>
          <t>Audit trail persisted; advisory semantics explicit.</t>
        </is>
      </c>
      <c r="M23" s="18" t="inlineStr">
        <is>
          <t>624a6a6e-c7f5-4894-bfde-90ce8ee5a123</t>
        </is>
      </c>
      <c r="N23" s="21" t="n">
        <v>46223.02365222223</v>
      </c>
    </row>
    <row r="24" ht="38.04999923706055" customHeight="1">
      <c r="A24" s="5" t="inlineStr">
        <is>
          <t>Phase 3</t>
        </is>
      </c>
      <c r="B24" s="5" t="inlineStr">
        <is>
          <t>Canonical evaluation result</t>
        </is>
      </c>
      <c r="C24" s="5" t="inlineStr">
        <is>
          <t>evaluation_result_v2</t>
        </is>
      </c>
      <c r="D24" s="5" t="inlineStr">
        <is>
          <t>object</t>
        </is>
      </c>
      <c r="E24" s="9" t="n">
        <v>56328</v>
      </c>
      <c r="F24" s="9" t="inlineStr">
        <is>
          <t>Yes</t>
        </is>
      </c>
      <c r="G24" s="9" t="n">
        <v>15</v>
      </c>
      <c r="H24" s="7" t="n">
        <v>0.95</v>
      </c>
      <c r="I24" s="7" t="n">
        <v>0.92</v>
      </c>
      <c r="J24" s="7" t="n">
        <v>1</v>
      </c>
      <c r="K24" s="7">
        <f>ROUND(H24*0.4+I24*0.35+J24*0.25,3)</f>
        <v/>
      </c>
      <c r="L24" s="5" t="inlineStr">
        <is>
          <t>13/13 criteria include score, rationale and evidence.</t>
        </is>
      </c>
      <c r="M24" s="5" t="inlineStr">
        <is>
          <t>9bf16510-aa07-4115-89a3-596a682adb2a</t>
        </is>
      </c>
      <c r="N24" s="11" t="n">
        <v>46223.02365258102</v>
      </c>
    </row>
    <row r="25" ht="38.04999923706055" customHeight="1">
      <c r="A25" s="18" t="inlineStr">
        <is>
          <t>Phase 4</t>
        </is>
      </c>
      <c r="B25" s="18" t="inlineStr">
        <is>
          <t>Unified document</t>
        </is>
      </c>
      <c r="C25" s="18" t="inlineStr">
        <is>
          <t>unified_evaluation_document_v1</t>
        </is>
      </c>
      <c r="D25" s="18" t="inlineStr">
        <is>
          <t>object</t>
        </is>
      </c>
      <c r="E25" s="19" t="n">
        <v>46326</v>
      </c>
      <c r="F25" s="19" t="inlineStr">
        <is>
          <t>Yes</t>
        </is>
      </c>
      <c r="G25" s="19" t="n">
        <v>20</v>
      </c>
      <c r="H25" s="20" t="n">
        <v>0.95</v>
      </c>
      <c r="I25" s="20" t="n">
        <v>0.9</v>
      </c>
      <c r="J25" s="20" t="n">
        <v>1</v>
      </c>
      <c r="K25" s="20">
        <f>ROUND(H25*0.4+I25*0.35+J25*0.25,3)</f>
        <v/>
      </c>
      <c r="L25" s="18" t="inlineStr">
        <is>
          <t>Canonical opportunity ledger present and explicitly empty.</t>
        </is>
      </c>
      <c r="M25" s="18" t="inlineStr">
        <is>
          <t>d4ee8be0-88a1-46b5-9931-46df6aa5fb09</t>
        </is>
      </c>
      <c r="N25" s="21" t="n">
        <v>46223.02365471065</v>
      </c>
    </row>
    <row r="26" ht="38.04999923706055" customHeight="1">
      <c r="A26" s="5" t="inlineStr">
        <is>
          <t>Phase 4</t>
        </is>
      </c>
      <c r="B26" s="5" t="inlineStr">
        <is>
          <t>Render parity manifest</t>
        </is>
      </c>
      <c r="C26" s="5" t="inlineStr">
        <is>
          <t>report_render_manifest_v1</t>
        </is>
      </c>
      <c r="D26" s="5" t="inlineStr">
        <is>
          <t>object</t>
        </is>
      </c>
      <c r="E26" s="9" t="n">
        <v>13882</v>
      </c>
      <c r="F26" s="9" t="inlineStr">
        <is>
          <t>Yes</t>
        </is>
      </c>
      <c r="G26" s="9" t="n">
        <v>10</v>
      </c>
      <c r="H26" s="7" t="n">
        <v>1</v>
      </c>
      <c r="I26" s="7" t="n">
        <v>0.95</v>
      </c>
      <c r="J26" s="7" t="n">
        <v>1</v>
      </c>
      <c r="K26" s="7">
        <f>ROUND(H26*0.4+I26*0.35+J26*0.25,3)</f>
        <v/>
      </c>
      <c r="L26" s="5" t="inlineStr">
        <is>
          <t>Required field registry and surface parity hashes persisted.</t>
        </is>
      </c>
      <c r="M26" s="5" t="inlineStr">
        <is>
          <t>b9622828-2510-476d-b703-6e361b1a0037</t>
        </is>
      </c>
      <c r="N26" s="11" t="n">
        <v>46223.02365523148</v>
      </c>
    </row>
    <row r="27" ht="38.04999923706055" customHeight="1">
      <c r="A27" s="18" t="inlineStr">
        <is>
          <t>Phase 4</t>
        </is>
      </c>
      <c r="B27" s="18" t="inlineStr">
        <is>
          <t>Release certification</t>
        </is>
      </c>
      <c r="C27" s="18" t="inlineStr">
        <is>
          <t>author_exposure_certification_v1</t>
        </is>
      </c>
      <c r="D27" s="18" t="inlineStr">
        <is>
          <t>object</t>
        </is>
      </c>
      <c r="E27" s="19" t="n">
        <v>1512</v>
      </c>
      <c r="F27" s="19" t="inlineStr">
        <is>
          <t>Yes</t>
        </is>
      </c>
      <c r="G27" s="19" t="n">
        <v>10</v>
      </c>
      <c r="H27" s="20" t="n">
        <v>1</v>
      </c>
      <c r="I27" s="20" t="n">
        <v>0.95</v>
      </c>
      <c r="J27" s="20" t="n">
        <v>1</v>
      </c>
      <c r="K27" s="20">
        <f>ROUND(H27*0.4+I27*0.35+J27*0.25,3)</f>
        <v/>
      </c>
      <c r="L27" s="18" t="inlineStr">
        <is>
          <t>Certified author exposure with blocking reasons field and UED hash.</t>
        </is>
      </c>
      <c r="M27" s="18" t="inlineStr">
        <is>
          <t>2b26f613-b754-4186-a467-4ac16b0d5f9b</t>
        </is>
      </c>
      <c r="N27" s="21" t="n">
        <v>46223.02365569444</v>
      </c>
    </row>
    <row r="28" ht="38.04999923706055" customHeight="1">
      <c r="A28" s="6" t="inlineStr">
        <is>
          <t>Phase 5</t>
        </is>
      </c>
      <c r="B28" s="6" t="inlineStr">
        <is>
          <t>Workbench projection</t>
        </is>
      </c>
      <c r="C28" s="6" t="inlineStr">
        <is>
          <t>revision_opportunity_ledger_v1</t>
        </is>
      </c>
      <c r="D28" s="6" t="inlineStr">
        <is>
          <t>object</t>
        </is>
      </c>
      <c r="E28" s="10" t="n">
        <v>0</v>
      </c>
      <c r="F28" s="10" t="inlineStr">
        <is>
          <t>N/A</t>
        </is>
      </c>
      <c r="G28" s="10" t="n">
        <v>4</v>
      </c>
      <c r="H28" s="8" t="n">
        <v>1</v>
      </c>
      <c r="I28" s="8" t="n">
        <v>1</v>
      </c>
      <c r="J28" s="8" t="n">
        <v>1</v>
      </c>
      <c r="K28" s="8">
        <f>ROUND(H28*0.4+I28*0.35+J28*0.25,3)</f>
        <v/>
      </c>
      <c r="L28" s="6" t="inlineStr">
        <is>
          <t>One durable row; canonical_full; canonical_count=0; rendered_count=0; same row after reload.</t>
        </is>
      </c>
      <c r="M28" s="6" t="inlineStr">
        <is>
          <t>eb1d9ae7-b48b-4e45-806f-95a2d4d8170a</t>
        </is>
      </c>
      <c r="N28" s="12" t="n">
        <v>46223.08032305555</v>
      </c>
    </row>
  </sheetData>
  <mergeCells count="2">
    <mergeCell ref="A2:N2"/>
    <mergeCell ref="A1:N1"/>
  </mergeCells>
  <conditionalFormatting sqref="H5:K28">
    <cfRule type="cellIs" priority="1" operator="lessThan" dxfId="11">
      <formula>0.7</formula>
    </cfRule>
    <cfRule type="cellIs" priority="2" operator="between" dxfId="10">
      <formula>0.7</formula>
      <formula>0.8499</formula>
    </cfRule>
    <cfRule type="cellIs" priority="3" operator="greaterThanOrEqual" dxfId="9">
      <formula>0.85</formula>
    </cfRule>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41"/>
  <sheetViews>
    <sheetView showGridLines="0" workbookViewId="0">
      <selection activeCell="A1" sqref="A1"/>
    </sheetView>
  </sheetViews>
  <sheetFormatPr baseColWidth="8" defaultRowHeight="13.80000019073486"/>
  <cols>
    <col width="23" customWidth="1" min="1" max="2"/>
    <col width="34" customWidth="1" min="3" max="4"/>
    <col width="23" customWidth="1" min="5" max="6"/>
    <col width="48" customWidth="1" min="7" max="7"/>
  </cols>
  <sheetData>
    <row r="1" ht="34" customHeight="1">
      <c r="A1" s="62" t="inlineStr">
        <is>
          <t>Kickback &amp; Gate Audit</t>
        </is>
      </c>
    </row>
    <row r="2" ht="32.04999923706055" customHeight="1">
      <c r="A2" s="63" t="inlineStr">
        <is>
          <t>Evidence strength distinguishes live production behavior from contract-only characterization. No synthetic dirty payload was injected into production.</t>
        </is>
      </c>
    </row>
    <row r="4" ht="34" customHeight="1">
      <c r="A4" s="1" t="inlineStr">
        <is>
          <t>Gate / kickback</t>
        </is>
      </c>
      <c r="B4" s="2" t="inlineStr">
        <is>
          <t>Boundary</t>
        </is>
      </c>
      <c r="C4" s="2" t="inlineStr">
        <is>
          <t>Dirty-data risk</t>
        </is>
      </c>
      <c r="D4" s="2" t="inlineStr">
        <is>
          <t>Control</t>
        </is>
      </c>
      <c r="E4" s="2" t="inlineStr">
        <is>
          <t>Evidence level</t>
        </is>
      </c>
      <c r="F4" s="2" t="inlineStr">
        <is>
          <t>Status</t>
        </is>
      </c>
      <c r="G4" s="3" t="inlineStr">
        <is>
          <t>Result / gap</t>
        </is>
      </c>
    </row>
    <row r="5" ht="50.04999923706055" customHeight="1">
      <c r="A5" s="14" t="inlineStr">
        <is>
          <t>Proof dispatch hold</t>
        </is>
      </c>
      <c r="B5" s="14" t="inlineStr">
        <is>
          <t>Submission</t>
        </is>
      </c>
      <c r="C5" s="14" t="inlineStr">
        <is>
          <t>Ordinary job accidentally processes before exact targeting</t>
        </is>
      </c>
      <c r="D5" s="14" t="inlineStr">
        <is>
          <t>Explicit proof marker + one-held-job invariant</t>
        </is>
      </c>
      <c r="E5" s="14" t="inlineStr">
        <is>
          <t>Live production</t>
        </is>
      </c>
      <c r="F5" s="14" t="inlineStr">
        <is>
          <t>PASS</t>
        </is>
      </c>
      <c r="G5" s="14" t="inlineStr">
        <is>
          <t>Held undispatched until exact release; no duplicate job.</t>
        </is>
      </c>
    </row>
    <row r="6" ht="50.04999923706055" customHeight="1">
      <c r="A6" s="5" t="inlineStr">
        <is>
          <t>Exact-job release</t>
        </is>
      </c>
      <c r="B6" s="5" t="inlineStr">
        <is>
          <t>Dispatch</t>
        </is>
      </c>
      <c r="C6" s="5" t="inlineStr">
        <is>
          <t>Wrong job released or broad queue impact</t>
        </is>
      </c>
      <c r="D6" s="5" t="inlineStr">
        <is>
          <t>Exact ID and proof marker required</t>
        </is>
      </c>
      <c r="E6" s="5" t="inlineStr">
        <is>
          <t>Live production</t>
        </is>
      </c>
      <c r="F6" s="5" t="inlineStr">
        <is>
          <t>PASS</t>
        </is>
      </c>
      <c r="G6" s="5" t="inlineStr">
        <is>
          <t>Only job 2a3b7e14… released.</t>
        </is>
      </c>
    </row>
    <row r="7" ht="50.04999923706055" customHeight="1">
      <c r="A7" s="18" t="inlineStr">
        <is>
          <t>Author-facing text integrity</t>
        </is>
      </c>
      <c r="B7" s="18" t="inlineStr">
        <is>
          <t>Phase 3</t>
        </is>
      </c>
      <c r="C7" s="18" t="inlineStr">
        <is>
          <t>Unowned author-facing field</t>
        </is>
      </c>
      <c r="D7" s="18" t="inlineStr">
        <is>
          <t>Path registry is single authority; CI covers 13 criteria</t>
        </is>
      </c>
      <c r="E7" s="18" t="inlineStr">
        <is>
          <t>Live rerun + contracts</t>
        </is>
      </c>
      <c r="F7" s="18" t="inlineStr">
        <is>
          <t>PASS</t>
        </is>
      </c>
      <c r="G7" s="18" t="inlineStr">
        <is>
          <t>Prior AUTHOR_FACING_TEXT_INTEGRITY_FAILED did not recur.</t>
        </is>
      </c>
    </row>
    <row r="8" ht="50.04999923706055" customHeight="1">
      <c r="A8" s="5" t="inlineStr">
        <is>
          <t>Recommendation safety</t>
        </is>
      </c>
      <c r="B8" s="5" t="inlineStr">
        <is>
          <t>Phase 3</t>
        </is>
      </c>
      <c r="C8" s="5" t="inlineStr">
        <is>
          <t>Unsafe advice reaches Revise</t>
        </is>
      </c>
      <c r="D8" s="5" t="inlineStr">
        <is>
          <t>Gate-suppressed/no-recommendation states</t>
        </is>
      </c>
      <c r="E8" s="5" t="inlineStr">
        <is>
          <t>Live production</t>
        </is>
      </c>
      <c r="F8" s="5" t="inlineStr">
        <is>
          <t>PASS WITH FINDING</t>
        </is>
      </c>
      <c r="G8" s="5" t="inlineStr">
        <is>
          <t>0 criterion recommendations; safety held, usefulness needs calibration.</t>
        </is>
      </c>
    </row>
    <row r="9" ht="50.04999923706055" customHeight="1">
      <c r="A9" s="18" t="inlineStr">
        <is>
          <t>Summary/criterion consistency</t>
        </is>
      </c>
      <c r="B9" s="18" t="inlineStr">
        <is>
          <t>Phase 3</t>
        </is>
      </c>
      <c r="C9" s="18" t="inlineStr">
        <is>
          <t>Contradictory summary and criterion result</t>
        </is>
      </c>
      <c r="D9" s="18" t="inlineStr">
        <is>
          <t>Consistency artifact</t>
        </is>
      </c>
      <c r="E9" s="18" t="inlineStr">
        <is>
          <t>Live production</t>
        </is>
      </c>
      <c r="F9" s="18" t="inlineStr">
        <is>
          <t>PASS</t>
        </is>
      </c>
      <c r="G9" s="18" t="inlineStr">
        <is>
          <t>summary_criterion_consistency_v1 persisted.</t>
        </is>
      </c>
    </row>
    <row r="10" ht="50.04999923706055" customHeight="1">
      <c r="A10" s="5" t="inlineStr">
        <is>
          <t>Artifact consistency</t>
        </is>
      </c>
      <c r="B10" s="5" t="inlineStr">
        <is>
          <t>Phase 3</t>
        </is>
      </c>
      <c r="C10" s="5" t="inlineStr">
        <is>
          <t>Cross-artifact identity/content mismatch</t>
        </is>
      </c>
      <c r="D10" s="5" t="inlineStr">
        <is>
          <t>Artifact consistency gate</t>
        </is>
      </c>
      <c r="E10" s="5" t="inlineStr">
        <is>
          <t>Live production</t>
        </is>
      </c>
      <c r="F10" s="5" t="inlineStr">
        <is>
          <t>PASS</t>
        </is>
      </c>
      <c r="G10" s="5" t="inlineStr">
        <is>
          <t>artifact_consistency_gate_v1 persisted.</t>
        </is>
      </c>
    </row>
    <row r="11" ht="50.04999923706055" customHeight="1">
      <c r="A11" s="18" t="inlineStr">
        <is>
          <t>Release certification</t>
        </is>
      </c>
      <c r="B11" s="18" t="inlineStr">
        <is>
          <t>Phase 4</t>
        </is>
      </c>
      <c r="C11" s="18" t="inlineStr">
        <is>
          <t>Uncertified document exposed</t>
        </is>
      </c>
      <c r="D11" s="18" t="inlineStr">
        <is>
          <t>Render parity + author exposure certification</t>
        </is>
      </c>
      <c r="E11" s="18" t="inlineStr">
        <is>
          <t>Live production</t>
        </is>
      </c>
      <c r="F11" s="18" t="inlineStr">
        <is>
          <t>PASS</t>
        </is>
      </c>
      <c r="G11" s="18" t="inlineStr">
        <is>
          <t>Both manifest and certification persisted.</t>
        </is>
      </c>
    </row>
    <row r="12" ht="50.04999923706055" customHeight="1">
      <c r="A12" s="5" t="inlineStr">
        <is>
          <t>Canonical empty authority</t>
        </is>
      </c>
      <c r="B12" s="5" t="inlineStr">
        <is>
          <t>Phase 5</t>
        </is>
      </c>
      <c r="C12" s="5" t="inlineStr">
        <is>
          <t>Zero opportunities mistaken for missing ledger</t>
        </is>
      </c>
      <c r="D12" s="5" t="inlineStr">
        <is>
          <t>Present empty array is governed authority</t>
        </is>
      </c>
      <c r="E12" s="5" t="inlineStr">
        <is>
          <t>Live production + regression</t>
        </is>
      </c>
      <c r="F12" s="5" t="inlineStr">
        <is>
          <t>PASS</t>
        </is>
      </c>
      <c r="G12" s="5" t="inlineStr">
        <is>
          <t>Empty Workbench rendered; one durable ledger row after reload.</t>
        </is>
      </c>
    </row>
    <row r="13" ht="50.04999923706055" customHeight="1">
      <c r="A13" s="18" t="inlineStr">
        <is>
          <t>Missing canonical authority</t>
        </is>
      </c>
      <c r="B13" s="18" t="inlineStr">
        <is>
          <t>Phase 5</t>
        </is>
      </c>
      <c r="C13" s="18" t="inlineStr">
        <is>
          <t>Legacy recommendation manufactured into cards</t>
        </is>
      </c>
      <c r="D13" s="18" t="inlineStr">
        <is>
          <t>Fail closed</t>
        </is>
      </c>
      <c r="E13" s="18" t="inlineStr">
        <is>
          <t>Regression contracts</t>
        </is>
      </c>
      <c r="F13" s="18" t="inlineStr">
        <is>
          <t>PASS</t>
        </is>
      </c>
      <c r="G13" s="18" t="inlineStr">
        <is>
          <t>Missing canonicalOpportunityLedger.opportunities still rejects.</t>
        </is>
      </c>
    </row>
    <row r="14" ht="50.04999923706055" customHeight="1">
      <c r="A14" s="5" t="inlineStr">
        <is>
          <t>Malformed canonical authority</t>
        </is>
      </c>
      <c r="B14" s="5" t="inlineStr">
        <is>
          <t>Phase 5</t>
        </is>
      </c>
      <c r="C14" s="5" t="inlineStr">
        <is>
          <t>Non-array value accepted downstream</t>
        </is>
      </c>
      <c r="D14" s="5" t="inlineStr">
        <is>
          <t>Fail closed</t>
        </is>
      </c>
      <c r="E14" s="5" t="inlineStr">
        <is>
          <t>Regression contracts</t>
        </is>
      </c>
      <c r="F14" s="5" t="inlineStr">
        <is>
          <t>PASS</t>
        </is>
      </c>
      <c r="G14" s="5" t="inlineStr">
        <is>
          <t>Malformed/non-array still rejects.</t>
        </is>
      </c>
    </row>
    <row r="15" ht="50.04999923706055" customHeight="1">
      <c r="A15" s="18" t="inlineStr">
        <is>
          <t>Idempotent Workbench projection</t>
        </is>
      </c>
      <c r="B15" s="18" t="inlineStr">
        <is>
          <t>Phase 5</t>
        </is>
      </c>
      <c r="C15" s="18" t="inlineStr">
        <is>
          <t>Repeated opens duplicate ledger/card</t>
        </is>
      </c>
      <c r="D15" s="18" t="inlineStr">
        <is>
          <t>Canonical ledger upsert/projection authority</t>
        </is>
      </c>
      <c r="E15" s="18" t="inlineStr">
        <is>
          <t>Live reload + regression</t>
        </is>
      </c>
      <c r="F15" s="18" t="inlineStr">
        <is>
          <t>PASS</t>
        </is>
      </c>
      <c r="G15" s="18" t="inlineStr">
        <is>
          <t>Same row ID and row_count=1 after reload.</t>
        </is>
      </c>
    </row>
    <row r="16" ht="50.04999923706055" customHeight="1">
      <c r="A16" s="5" t="inlineStr">
        <is>
          <t>Held Recovery canonical anchor</t>
        </is>
      </c>
      <c r="B16" s="5" t="inlineStr">
        <is>
          <t>Held Recovery</t>
        </is>
      </c>
      <c r="C16" s="5" t="inlineStr">
        <is>
          <t>Dirty/mismatched anchor or identity readmitted</t>
        </is>
      </c>
      <c r="D16" s="5" t="inlineStr">
        <is>
          <t>CAS anchor_updated + version/fingerprint verification</t>
        </is>
      </c>
      <c r="E16" s="5" t="inlineStr">
        <is>
          <t>Contracts only</t>
        </is>
      </c>
      <c r="F16" s="5" t="inlineStr">
        <is>
          <t>UNPROVEN LIVE</t>
        </is>
      </c>
      <c r="G16" s="5" t="inlineStr">
        <is>
          <t>No held item occurred; live reconstruction/readmission not exercised.</t>
        </is>
      </c>
    </row>
    <row r="17" ht="50.04999923706055" customHeight="1">
      <c r="A17" s="22" t="inlineStr">
        <is>
          <t>Dirty-data downstream kickback</t>
        </is>
      </c>
      <c r="B17" s="22" t="inlineStr">
        <is>
          <t>Cross-phase</t>
        </is>
      </c>
      <c r="C17" s="22" t="inlineStr">
        <is>
          <t>Invalid producer artifact reaches consumer</t>
        </is>
      </c>
      <c r="D17" s="22" t="inlineStr">
        <is>
          <t>Artifact-health schemas and release gates</t>
        </is>
      </c>
      <c r="E17" s="22" t="inlineStr">
        <is>
          <t>Mixed</t>
        </is>
      </c>
      <c r="F17" s="22" t="inlineStr">
        <is>
          <t>NEEDS HARDENING</t>
        </is>
      </c>
      <c r="G17" s="22" t="inlineStr">
        <is>
          <t>Several artifacts persisted despite health scores 0/95–50/95; gate coverage is incomplete.</t>
        </is>
      </c>
    </row>
    <row r="19" ht="22.5" customHeight="1">
      <c r="A19" s="64" t="inlineStr">
        <is>
          <t>Current Evaluate → Revise authority controls</t>
        </is>
      </c>
    </row>
    <row r="20">
      <c r="A20" s="66" t="inlineStr">
        <is>
          <t>Gate / kickback</t>
        </is>
      </c>
      <c r="B20" s="66" t="inlineStr">
        <is>
          <t>Boundary</t>
        </is>
      </c>
      <c r="C20" s="66" t="inlineStr">
        <is>
          <t>Dirty-data risk</t>
        </is>
      </c>
      <c r="D20" s="66" t="inlineStr">
        <is>
          <t>Control</t>
        </is>
      </c>
      <c r="E20" s="66" t="inlineStr">
        <is>
          <t>Evidence level</t>
        </is>
      </c>
      <c r="F20" s="66" t="inlineStr">
        <is>
          <t>Status</t>
        </is>
      </c>
      <c r="G20" s="66" t="inlineStr">
        <is>
          <t>Result / gap</t>
        </is>
      </c>
    </row>
    <row r="21" ht="22.79999923706055" customHeight="1">
      <c r="A21" s="67" t="inlineStr">
        <is>
          <t>Recommendation lineage coverage</t>
        </is>
      </c>
      <c r="B21" s="67" t="inlineStr">
        <is>
          <t>Phase 5</t>
        </is>
      </c>
      <c r="C21" s="67" t="inlineStr">
        <is>
          <t>Source recommendation silently disappears</t>
        </is>
      </c>
      <c r="D21" s="67" t="inlineStr">
        <is>
          <t>Exact source-ID set equality and one disposition per source</t>
        </is>
      </c>
      <c r="E21" s="67" t="inlineStr">
        <is>
          <t>Contracts + PR #1354</t>
        </is>
      </c>
      <c r="F21" s="52" t="inlineStr">
        <is>
          <t>PASS</t>
        </is>
      </c>
      <c r="G21" s="67" t="inlineStr">
        <is>
          <t>Missing, duplicate or unexpected identities block author-exposure certification.</t>
        </is>
      </c>
    </row>
    <row r="22" ht="22.79999923706055" customHeight="1">
      <c r="A22" s="67" t="inlineStr">
        <is>
          <t>Admitted authority coverage</t>
        </is>
      </c>
      <c r="B22" s="67" t="inlineStr">
        <is>
          <t>Evaluate → Revise</t>
        </is>
      </c>
      <c r="C22" s="67" t="inlineStr">
        <is>
          <t>Admitted source lacks queue identity</t>
        </is>
      </c>
      <c r="D22" s="67" t="inlineStr">
        <is>
          <t>Exactly one canonical opportunity ID per admitted disposition</t>
        </is>
      </c>
      <c r="E22" s="67" t="inlineStr">
        <is>
          <t>Contracts + registry</t>
        </is>
      </c>
      <c r="F22" s="52" t="inlineStr">
        <is>
          <t>PASS</t>
        </is>
      </c>
      <c r="G22" s="67" t="inlineStr">
        <is>
          <t>Coverage target 100%; projection loss kicks to S10b/RS01.</t>
        </is>
      </c>
    </row>
    <row r="23" ht="22.79999923706055" customHeight="1">
      <c r="A23" s="67" t="inlineStr">
        <is>
          <t>Non-admitted isolation</t>
        </is>
      </c>
      <c r="B23" s="67" t="inlineStr">
        <is>
          <t>Evaluate → Revise</t>
        </is>
      </c>
      <c r="C23" s="67" t="inlineStr">
        <is>
          <t>Suppressed/informational source becomes queue work</t>
        </is>
      </c>
      <c r="D23" s="67" t="inlineStr">
        <is>
          <t>Canonical identity prohibited for non-admitted dispositions</t>
        </is>
      </c>
      <c r="E23" s="67" t="inlineStr">
        <is>
          <t>Contracts + registry</t>
        </is>
      </c>
      <c r="F23" s="52" t="inlineStr">
        <is>
          <t>PASS</t>
        </is>
      </c>
      <c r="G23" s="67" t="inlineStr">
        <is>
          <t>Queue identity count target 0; no synthetic Held fallback.</t>
        </is>
      </c>
    </row>
    <row r="24" ht="22.79999923706055" customHeight="1">
      <c r="A24" s="67" t="inlineStr">
        <is>
          <t>Disposition versioning</t>
        </is>
      </c>
      <c r="B24" s="67" t="inlineStr">
        <is>
          <t>Phase 5</t>
        </is>
      </c>
      <c r="C24" s="67" t="inlineStr">
        <is>
          <t>Unknown schema silently accepted</t>
        </is>
      </c>
      <c r="D24" s="67" t="inlineStr">
        <is>
          <t>Missing version legacy-readable; unknown explicit version fails</t>
        </is>
      </c>
      <c r="E24" s="67" t="inlineStr">
        <is>
          <t>Contracts</t>
        </is>
      </c>
      <c r="F24" s="52" t="inlineStr">
        <is>
          <t>PASS</t>
        </is>
      </c>
      <c r="G24" s="67" t="inlineStr">
        <is>
          <t>Future versions require explicit compatibility validator.</t>
        </is>
      </c>
    </row>
    <row r="25" ht="22.79999923706055" customHeight="1">
      <c r="A25" s="67" t="inlineStr">
        <is>
          <t>Governed empty authority</t>
        </is>
      </c>
      <c r="B25" s="67" t="inlineStr">
        <is>
          <t>Phase 5 → RS01</t>
        </is>
      </c>
      <c r="C25" s="67" t="inlineStr">
        <is>
          <t>Valid empty mistaken for failure</t>
        </is>
      </c>
      <c r="D25" s="67" t="inlineStr">
        <is>
          <t>Present opportunities array; zero allowed</t>
        </is>
      </c>
      <c r="E25" s="67" t="inlineStr">
        <is>
          <t>Production + contracts</t>
        </is>
      </c>
      <c r="F25" s="52" t="inlineStr">
        <is>
          <t>PASS</t>
        </is>
      </c>
      <c r="G25" s="67" t="inlineStr">
        <is>
          <t>LEDGER_EMPTY now means unexpected loss after admitted authority, not governed zero.</t>
        </is>
      </c>
    </row>
    <row r="26" ht="22.79999923706055" customHeight="1">
      <c r="A26" s="67" t="inlineStr">
        <is>
          <t>Held diagnostic classification</t>
        </is>
      </c>
      <c r="B26" s="67" t="inlineStr">
        <is>
          <t>RS04 Workbench</t>
        </is>
      </c>
      <c r="C26" s="67" t="inlineStr">
        <is>
          <t>Internal code lost or exposed</t>
        </is>
      </c>
      <c r="D26" s="67" t="inlineStr">
        <is>
          <t>Every raw input classified; distinct families deduplicated</t>
        </is>
      </c>
      <c r="E26" s="67" t="inlineStr">
        <is>
          <t>Audit contracts</t>
        </is>
      </c>
      <c r="F26" s="52" t="inlineStr">
        <is>
          <t>PASS</t>
        </is>
      </c>
      <c r="G26" s="67" t="inlineStr">
        <is>
          <t>Source arrays remain observable; safe public explanation per family.</t>
        </is>
      </c>
    </row>
    <row r="27">
      <c r="A27" s="67" t="inlineStr">
        <is>
          <t>Unknown Held diagnostic</t>
        </is>
      </c>
      <c r="B27" s="67" t="inlineStr">
        <is>
          <t>RS04 Workbench</t>
        </is>
      </c>
      <c r="C27" s="67" t="inlineStr">
        <is>
          <t>Future code leaks verbatim</t>
        </is>
      </c>
      <c r="D27" s="67" t="inlineStr">
        <is>
          <t>Unknown family + generic safe explanation</t>
        </is>
      </c>
      <c r="E27" s="67" t="inlineStr">
        <is>
          <t>Audit contracts</t>
        </is>
      </c>
      <c r="F27" s="52" t="inlineStr">
        <is>
          <t>PASS</t>
        </is>
      </c>
      <c r="G27" s="67" t="inlineStr">
        <is>
          <t>Raw-code leakage target remains 0.</t>
        </is>
      </c>
    </row>
    <row r="28" ht="22.79999923706055" customHeight="1">
      <c r="A28" s="67" t="inlineStr">
        <is>
          <t>Repository authority parity</t>
        </is>
      </c>
      <c r="B28" s="67" t="inlineStr">
        <is>
          <t>Governance</t>
        </is>
      </c>
      <c r="C28" s="67" t="inlineStr">
        <is>
          <t>Workbook/CSV drifts from executable contract</t>
        </is>
      </c>
      <c r="D28" s="67" t="inlineStr">
        <is>
          <t>TS registries authoritative; CSV generated; workbook derived</t>
        </is>
      </c>
      <c r="E28" s="67" t="inlineStr">
        <is>
          <t>PR #1355</t>
        </is>
      </c>
      <c r="F28" s="52" t="inlineStr">
        <is>
          <t>PASS</t>
        </is>
      </c>
      <c r="G28" s="67" t="inlineStr">
        <is>
          <t>Merged as 4eccf05; generated mirrors and workbook cite registry/contract IDs.</t>
        </is>
      </c>
    </row>
    <row r="30" ht="22.5" customHeight="1">
      <c r="A30" s="64" t="inlineStr">
        <is>
          <t>Evaluate → Revise authority traceability (derived from repository registries)</t>
        </is>
      </c>
    </row>
    <row r="31">
      <c r="A31" s="66" t="inlineStr">
        <is>
          <t>Contract / stage</t>
        </is>
      </c>
      <c r="B31" s="66" t="inlineStr">
        <is>
          <t>Required metric</t>
        </is>
      </c>
      <c r="C31" s="66" t="inlineStr">
        <is>
          <t>Authorized output</t>
        </is>
      </c>
      <c r="D31" s="66" t="inlineStr">
        <is>
          <t>Dirty-data condition</t>
        </is>
      </c>
      <c r="E31" s="66" t="inlineStr">
        <is>
          <t>Kickback / owner</t>
        </is>
      </c>
      <c r="F31" s="66" t="inlineStr">
        <is>
          <t>Verification</t>
        </is>
      </c>
      <c r="G31" s="66" t="inlineStr">
        <is>
          <t>State</t>
        </is>
      </c>
    </row>
    <row r="32" ht="22.79999923706055" customHeight="1">
      <c r="A32" s="67" t="inlineStr">
        <is>
          <t>S10b disposition coverage</t>
        </is>
      </c>
      <c r="B32" s="67" t="inlineStr">
        <is>
          <t>source count = disposition count = unique IDs; coverage=100%</t>
        </is>
      </c>
      <c r="C32" s="67" t="inlineStr">
        <is>
          <t>One disposition per source</t>
        </is>
      </c>
      <c r="D32" s="67" t="inlineStr">
        <is>
          <t>Missing/duplicate/unexpected ID</t>
        </is>
      </c>
      <c r="E32" s="67" t="inlineStr">
        <is>
          <t>S10b; block certification</t>
        </is>
      </c>
      <c r="F32" s="67" t="inlineStr">
        <is>
          <t>Ownership gate contracts</t>
        </is>
      </c>
      <c r="G32" s="52" t="inlineStr">
        <is>
          <t>DEPLOYED</t>
        </is>
      </c>
    </row>
    <row r="33">
      <c r="A33" s="67" t="inlineStr">
        <is>
          <t>S10b admitted authority</t>
        </is>
      </c>
      <c r="B33" s="67" t="inlineStr">
        <is>
          <t>Canonical ID coverage=100%</t>
        </is>
      </c>
      <c r="C33" s="67" t="inlineStr">
        <is>
          <t>Canonical opportunity identity</t>
        </is>
      </c>
      <c r="D33" s="67" t="inlineStr">
        <is>
          <t>Admitted without/duplicate ID</t>
        </is>
      </c>
      <c r="E33" s="67" t="inlineStr">
        <is>
          <t>S10b / RS01</t>
        </is>
      </c>
      <c r="F33" s="67" t="inlineStr">
        <is>
          <t>Disposition tests</t>
        </is>
      </c>
      <c r="G33" s="52" t="inlineStr">
        <is>
          <t>DEPLOYED</t>
        </is>
      </c>
    </row>
    <row r="34">
      <c r="A34" s="67" t="inlineStr">
        <is>
          <t>S10b non-admitted isolation</t>
        </is>
      </c>
      <c r="B34" s="67" t="inlineStr">
        <is>
          <t>Queue identity count=0</t>
        </is>
      </c>
      <c r="C34" s="67" t="inlineStr">
        <is>
          <t>Lineage only</t>
        </is>
      </c>
      <c r="D34" s="67" t="inlineStr">
        <is>
          <t>Suppressed/informational has ID</t>
        </is>
      </c>
      <c r="E34" s="67" t="inlineStr">
        <is>
          <t>S10b / RS01</t>
        </is>
      </c>
      <c r="F34" s="67" t="inlineStr">
        <is>
          <t>Ledger contracts</t>
        </is>
      </c>
      <c r="G34" s="52" t="inlineStr">
        <is>
          <t>DEPLOYED</t>
        </is>
      </c>
    </row>
    <row r="35">
      <c r="A35" s="67" t="inlineStr">
        <is>
          <t>S10b held_recoverable v1</t>
        </is>
      </c>
      <c r="B35" s="67" t="inlineStr">
        <is>
          <t>Certifiable count=0</t>
        </is>
      </c>
      <c r="C35" s="67" t="inlineStr">
        <is>
          <t>None under v1</t>
        </is>
      </c>
      <c r="D35" s="67" t="inlineStr">
        <is>
          <t>held_recoverable emitted</t>
        </is>
      </c>
      <c r="E35" s="67" t="inlineStr">
        <is>
          <t>S10b; fail closed</t>
        </is>
      </c>
      <c r="F35" s="67" t="inlineStr">
        <is>
          <t>Reserved-value regression</t>
        </is>
      </c>
      <c r="G35" s="52" t="inlineStr">
        <is>
          <t>DEPLOYED</t>
        </is>
      </c>
    </row>
    <row r="36" ht="22.79999923706055" customHeight="1">
      <c r="A36" s="67" t="inlineStr">
        <is>
          <t>Canonical authority</t>
        </is>
      </c>
      <c r="B36" s="67" t="inlineStr">
        <is>
          <t>opportunities is array; count may be zero</t>
        </is>
      </c>
      <c r="C36" s="67" t="inlineStr">
        <is>
          <t>Authority / valid empty</t>
        </is>
      </c>
      <c r="D36" s="67" t="inlineStr">
        <is>
          <t>Missing, malformed, non-array</t>
        </is>
      </c>
      <c r="E36" s="67" t="inlineStr">
        <is>
          <t>S10b; no fallback</t>
        </is>
      </c>
      <c r="F36" s="67" t="inlineStr">
        <is>
          <t>Five-state characterization</t>
        </is>
      </c>
      <c r="G36" s="52" t="inlineStr">
        <is>
          <t>DEPLOYED</t>
        </is>
      </c>
    </row>
    <row r="37" ht="22.79999923706055" customHeight="1">
      <c r="A37" s="67" t="inlineStr">
        <is>
          <t>RS01 projection</t>
        </is>
      </c>
      <c r="B37" s="67" t="inlineStr">
        <is>
          <t>Ledger count = admitted count; duplicates=0</t>
        </is>
      </c>
      <c r="C37" s="67" t="inlineStr">
        <is>
          <t>revision_opportunity_ledger_v1</t>
        </is>
      </c>
      <c r="D37" s="67" t="inlineStr">
        <is>
          <t>Projection loss/unauthorized row</t>
        </is>
      </c>
      <c r="E37" s="67" t="inlineStr">
        <is>
          <t>RS01 / S10b</t>
        </is>
      </c>
      <c r="F37" s="67" t="inlineStr">
        <is>
          <t>Registry contract</t>
        </is>
      </c>
      <c r="G37" s="52" t="inlineStr">
        <is>
          <t>MERGED #1355</t>
        </is>
      </c>
    </row>
    <row r="38" ht="22.79999923706055" customHeight="1">
      <c r="A38" s="67" t="inlineStr">
        <is>
          <t>RS02/RS03 queue</t>
        </is>
      </c>
      <c r="B38" s="67" t="inlineStr">
        <is>
          <t>Backing=100%; output count=input count</t>
        </is>
      </c>
      <c r="C38" s="67" t="inlineStr">
        <is>
          <t>Ready/Needs Targeting/valid empty</t>
        </is>
      </c>
      <c r="D38" s="67" t="inlineStr">
        <is>
          <t>Unbacked, lost or duplicate item</t>
        </is>
      </c>
      <c r="E38" s="67" t="inlineStr">
        <is>
          <t>RS01 / RS02</t>
        </is>
      </c>
      <c r="F38" s="67" t="inlineStr">
        <is>
          <t>Registry + queue tests</t>
        </is>
      </c>
      <c r="G38" s="52" t="inlineStr">
        <is>
          <t>MERGED #1355</t>
        </is>
      </c>
    </row>
    <row r="39">
      <c r="A39" s="67" t="inlineStr">
        <is>
          <t>RS04 classification</t>
        </is>
      </c>
      <c r="B39" s="67" t="inlineStr">
        <is>
          <t>Every raw input classified</t>
        </is>
      </c>
      <c r="C39" s="67" t="inlineStr">
        <is>
          <t>Internal family audit</t>
        </is>
      </c>
      <c r="D39" s="67" t="inlineStr">
        <is>
          <t>Source disappears/unclassified</t>
        </is>
      </c>
      <c r="E39" s="67" t="inlineStr">
        <is>
          <t>RS04</t>
        </is>
      </c>
      <c r="F39" s="67" t="inlineStr">
        <is>
          <t>Workbench audit</t>
        </is>
      </c>
      <c r="G39" s="52" t="inlineStr">
        <is>
          <t>DEPLOYED</t>
        </is>
      </c>
    </row>
    <row r="40" ht="22.79999923706055" customHeight="1">
      <c r="A40" s="67" t="inlineStr">
        <is>
          <t>RS04 presentation</t>
        </is>
      </c>
      <c r="B40" s="67" t="inlineStr">
        <is>
          <t>One safe explanation/family; leakage=0</t>
        </is>
      </c>
      <c r="C40" s="67" t="inlineStr">
        <is>
          <t>Author-safe Held prose</t>
        </is>
      </c>
      <c r="D40" s="67" t="inlineStr">
        <is>
          <t>Duplicate/empty/raw leak</t>
        </is>
      </c>
      <c r="E40" s="67" t="inlineStr">
        <is>
          <t>RS04; block exposure</t>
        </is>
      </c>
      <c r="F40" s="67" t="inlineStr">
        <is>
          <t>Adapter/audit tests</t>
        </is>
      </c>
      <c r="G40" s="52" t="inlineStr">
        <is>
          <t>DEPLOYED</t>
        </is>
      </c>
    </row>
    <row r="41" ht="34.20000076293945" customHeight="1">
      <c r="A41" s="67" t="inlineStr">
        <is>
          <t>Held Recovery live proof</t>
        </is>
      </c>
      <c r="B41" s="67" t="inlineStr">
        <is>
          <t>1 identity/attempt/work/reconstruction/readmission/card</t>
        </is>
      </c>
      <c r="C41" s="67" t="inlineStr">
        <is>
          <t>Persisted decision + reload</t>
        </is>
      </c>
      <c r="D41" s="67" t="inlineStr">
        <is>
          <t>Ambiguity/mismatch/duplicate/mutation</t>
        </is>
      </c>
      <c r="E41" s="67" t="inlineStr">
        <is>
          <t>Owning boundary</t>
        </is>
      </c>
      <c r="F41" s="67" t="inlineStr">
        <is>
          <t>HR-000…HR-015</t>
        </is>
      </c>
      <c r="G41" s="54" t="inlineStr">
        <is>
          <t>UNPROVEN LIVE</t>
        </is>
      </c>
    </row>
  </sheetData>
  <mergeCells count="4">
    <mergeCell ref="A19:G19"/>
    <mergeCell ref="A2:G2"/>
    <mergeCell ref="A30:G30"/>
    <mergeCell ref="A1:G1"/>
  </mergeCells>
  <conditionalFormatting sqref="F5:F17">
    <cfRule type="containsText" priority="1" operator="containsText" dxfId="2" text="PASS"/>
    <cfRule type="containsText" priority="2" operator="containsText" dxfId="1" text="NEEDS"/>
    <cfRule type="containsText" priority="3" operator="containsText" dxfId="0" text="UNPROVEN"/>
  </conditionalFormatting>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3.80000019073486"/>
  <cols>
    <col width="28" customWidth="1" min="1" max="1"/>
    <col width="22" customWidth="1" min="2" max="2"/>
    <col width="26" customWidth="1" min="3" max="3"/>
    <col width="40" customWidth="1" min="4" max="4"/>
    <col width="52" customWidth="1" min="5" max="5"/>
  </cols>
  <sheetData>
    <row r="1" ht="34" customHeight="1">
      <c r="A1" s="62" t="inlineStr">
        <is>
          <t>Held Recovery &amp; Workbench Proof</t>
        </is>
      </c>
    </row>
    <row r="2" ht="32.04999923706055" customHeight="1">
      <c r="A2" s="63" t="inlineStr">
        <is>
          <t>Current state: Workbench authority and author-safety are deployed; the historical live proof still did not trigger Held Recovery.</t>
        </is>
      </c>
    </row>
    <row r="4" ht="13.80000019073486" customHeight="1">
      <c r="A4" s="66" t="inlineStr">
        <is>
          <t>Objective</t>
        </is>
      </c>
      <c r="B4" s="66" t="inlineStr">
        <is>
          <t>State</t>
        </is>
      </c>
      <c r="C4" s="66" t="inlineStr">
        <is>
          <t>Evidence class</t>
        </is>
      </c>
      <c r="D4" s="66" t="inlineStr">
        <is>
          <t>Evidence</t>
        </is>
      </c>
      <c r="E4" s="66" t="inlineStr">
        <is>
          <t>Interpretation</t>
        </is>
      </c>
    </row>
    <row r="5" ht="13.80000019073486" customHeight="1">
      <c r="A5" s="67" t="inlineStr">
        <is>
          <t>Production commit deployed</t>
        </is>
      </c>
      <c r="B5" s="67" t="inlineStr">
        <is>
          <t>PASS</t>
        </is>
      </c>
      <c r="C5" s="67" t="inlineStr">
        <is>
          <t>Production Deployment</t>
        </is>
      </c>
      <c r="D5" s="67" t="inlineStr">
        <is>
          <t>7e3b1eba34d510a376b0ef30bf5f2c3e506e6109</t>
        </is>
      </c>
      <c r="E5" s="67" t="inlineStr">
        <is>
          <t>/api/health returned 200 with git_sha 7e3b1eb.</t>
        </is>
      </c>
    </row>
    <row r="6" ht="13.80000019073486" customHeight="1">
      <c r="A6" s="67" t="inlineStr">
        <is>
          <t>Prior controlled evaluation</t>
        </is>
      </c>
      <c r="B6" s="67" t="inlineStr">
        <is>
          <t>PASS</t>
        </is>
      </c>
      <c r="C6" s="67" t="inlineStr">
        <is>
          <t>Live Production Proof</t>
        </is>
      </c>
      <c r="D6" s="67" t="inlineStr">
        <is>
          <t>Job 2a3b7e14-c898-44eb-a85a-e2e6e9980880</t>
        </is>
      </c>
      <c r="E6" s="67" t="inlineStr">
        <is>
          <t>Historical evaluation completed at 82/100 with 23 artifacts.</t>
        </is>
      </c>
    </row>
    <row r="7" ht="21.60000038146973" customHeight="1">
      <c r="A7" s="67" t="inlineStr">
        <is>
          <t>Recommendation disposition authority</t>
        </is>
      </c>
      <c r="B7" s="67" t="inlineStr">
        <is>
          <t>PASS — CONTRACT</t>
        </is>
      </c>
      <c r="C7" s="67" t="inlineStr">
        <is>
          <t>Design Contract</t>
        </is>
      </c>
      <c r="D7" s="67" t="inlineStr">
        <is>
          <t>PR #1354</t>
        </is>
      </c>
      <c r="E7" s="67" t="inlineStr">
        <is>
          <t>Every criterion recommendation has one governed disposition; queue cardinality remains evidence-driven.</t>
        </is>
      </c>
    </row>
    <row r="8" ht="13.80000019073486" customHeight="1">
      <c r="A8" s="67" t="inlineStr">
        <is>
          <t>Canonical opportunity ledger</t>
        </is>
      </c>
      <c r="B8" s="67" t="inlineStr">
        <is>
          <t>PASS</t>
        </is>
      </c>
      <c r="C8" s="67" t="inlineStr">
        <is>
          <t>Live Production Proof</t>
        </is>
      </c>
      <c r="D8" s="67" t="inlineStr">
        <is>
          <t>opportunities: []</t>
        </is>
      </c>
      <c r="E8" s="67" t="inlineStr">
        <is>
          <t>Valid governed zero-opportunity outcome.</t>
        </is>
      </c>
    </row>
    <row r="9" ht="13.80000019073486" customHeight="1">
      <c r="A9" s="67" t="inlineStr">
        <is>
          <t>Workbench open/reload</t>
        </is>
      </c>
      <c r="B9" s="67" t="inlineStr">
        <is>
          <t>PASS</t>
        </is>
      </c>
      <c r="C9" s="67" t="inlineStr">
        <is>
          <t>Live Production Proof</t>
        </is>
      </c>
      <c r="D9" s="67" t="inlineStr">
        <is>
          <t>Active 0; Held 0; durable row_count=1</t>
        </is>
      </c>
      <c r="E9" s="67" t="inlineStr">
        <is>
          <t>Valid empty state; no 500, fallback or duplicate.</t>
        </is>
      </c>
    </row>
    <row r="10" ht="13.80000019073486" customHeight="1">
      <c r="A10" s="67" t="inlineStr">
        <is>
          <t>Held presentation safety</t>
        </is>
      </c>
      <c r="B10" s="67" t="inlineStr">
        <is>
          <t>PASS — CONTRACT</t>
        </is>
      </c>
      <c r="C10" s="67" t="inlineStr">
        <is>
          <t>CI Verification</t>
        </is>
      </c>
      <c r="D10" s="67" t="inlineStr">
        <is>
          <t>authorSafeHeldPresentation + workbench audit</t>
        </is>
      </c>
      <c r="E10" s="67" t="inlineStr">
        <is>
          <t>Distinct diagnostic families map to safe deduplicated prose; raw leakage=0.</t>
        </is>
      </c>
    </row>
    <row r="11" ht="13.80000019073486" customHeight="1">
      <c r="A11" s="67" t="inlineStr">
        <is>
          <t>Decision persistence</t>
        </is>
      </c>
      <c r="B11" s="67" t="inlineStr">
        <is>
          <t>NOT APPLICABLE</t>
        </is>
      </c>
      <c r="C11" s="67" t="inlineStr">
        <is>
          <t>Live Production Proof</t>
        </is>
      </c>
      <c r="D11" s="67" t="inlineStr">
        <is>
          <t>0 cards in prior proof</t>
        </is>
      </c>
      <c r="E11" s="67" t="inlineStr">
        <is>
          <t>Requires a future actionable or recovered card.</t>
        </is>
      </c>
    </row>
    <row r="12" ht="13.80000019073486" customHeight="1">
      <c r="A12" s="67" t="inlineStr">
        <is>
          <t>Held item created</t>
        </is>
      </c>
      <c r="B12" s="67" t="inlineStr">
        <is>
          <t>UNPROVEN LIVE</t>
        </is>
      </c>
      <c r="C12" s="67" t="inlineStr">
        <is>
          <t>Live Production Proof</t>
        </is>
      </c>
      <c r="D12" s="67" t="inlineStr">
        <is>
          <t>0 attempts; 0 work items; 0 anchors</t>
        </is>
      </c>
      <c r="E12" s="67" t="inlineStr">
        <is>
          <t>Prior manuscript did not trigger recoverable truncation.</t>
        </is>
      </c>
    </row>
    <row r="13" ht="13.80000019073486" customHeight="1">
      <c r="A13" s="67" t="inlineStr">
        <is>
          <t>Reconstruction and Readmission</t>
        </is>
      </c>
      <c r="B13" s="67" t="inlineStr">
        <is>
          <t>UNPROVEN LIVE</t>
        </is>
      </c>
      <c r="C13" s="67" t="inlineStr">
        <is>
          <t>Live Production Proof</t>
        </is>
      </c>
      <c r="D13" s="67" t="inlineStr">
        <is>
          <t>0 transitions; 0 recovered cards</t>
        </is>
      </c>
      <c r="E13" s="67" t="inlineStr">
        <is>
          <t>Runtime path still requires deterministic production proof.</t>
        </is>
      </c>
    </row>
    <row r="14" ht="13.80000019073486" customHeight="1">
      <c r="A14" s="67" t="inlineStr">
        <is>
          <t>Isolation / no unintended mutation</t>
        </is>
      </c>
      <c r="B14" s="67" t="inlineStr">
        <is>
          <t>PARTIAL</t>
        </is>
      </c>
      <c r="C14" s="67" t="inlineStr">
        <is>
          <t>Live Production Proof</t>
        </is>
      </c>
      <c r="D14" s="67" t="inlineStr">
        <is>
          <t>Contract and earlier proof-hold evidence</t>
        </is>
      </c>
      <c r="E14" s="67" t="inlineStr">
        <is>
          <t>Full proof must compare unrelated jobs before/after.</t>
        </is>
      </c>
    </row>
    <row r="15" ht="13.80000019073486" customHeight="1">
      <c r="A15" s="67" t="inlineStr">
        <is>
          <t>Temporary flag cleanup</t>
        </is>
      </c>
      <c r="B15" s="67" t="inlineStr">
        <is>
          <t>PASS</t>
        </is>
      </c>
      <c r="C15" s="67" t="inlineStr">
        <is>
          <t>Production Deployment</t>
        </is>
      </c>
      <c r="D15" s="67" t="inlineStr">
        <is>
          <t>0 remaining production entries</t>
        </is>
      </c>
      <c r="E15" s="67" t="inlineStr">
        <is>
          <t>Target flag removed after prior proof window.</t>
        </is>
      </c>
    </row>
  </sheetData>
  <mergeCells count="2">
    <mergeCell ref="A1:D1"/>
    <mergeCell ref="A2:D2"/>
  </mergeCells>
  <conditionalFormatting sqref="B5:B14">
    <cfRule type="containsText" priority="1" operator="containsText" dxfId="2" text="PASS"/>
    <cfRule type="containsText" priority="2" operator="containsText" dxfId="1" text="NEEDS"/>
    <cfRule type="containsText" priority="3" operator="containsText" dxfId="0" text="UNPROVEN"/>
  </conditionalFormatting>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I18"/>
  <sheetViews>
    <sheetView showGridLines="0" workbookViewId="0">
      <selection activeCell="A1" sqref="A1"/>
    </sheetView>
  </sheetViews>
  <sheetFormatPr baseColWidth="8" defaultRowHeight="13.80000019073486"/>
  <cols>
    <col width="20" customWidth="1" min="1" max="2"/>
    <col width="40" customWidth="1" min="3" max="7"/>
    <col width="20" customWidth="1" min="8" max="9"/>
  </cols>
  <sheetData>
    <row r="1" ht="34" customHeight="1">
      <c r="A1" s="62" t="inlineStr">
        <is>
          <t>Latency, Friction &amp; Quality Opportunities</t>
        </is>
      </c>
    </row>
    <row r="2" ht="32.04999923706055" customHeight="1">
      <c r="A2" s="63" t="inlineStr">
        <is>
          <t>Prioritized register. Proposals preserve canonical authority, safety gates and fail-closed behavior.</t>
        </is>
      </c>
    </row>
    <row r="4" ht="34" customHeight="1">
      <c r="A4" s="1" t="inlineStr">
        <is>
          <t>Priority</t>
        </is>
      </c>
      <c r="B4" s="2" t="inlineStr">
        <is>
          <t>Dimension</t>
        </is>
      </c>
      <c r="C4" s="2" t="inlineStr">
        <is>
          <t>Opportunity</t>
        </is>
      </c>
      <c r="D4" s="2" t="inlineStr">
        <is>
          <t>Observed evidence</t>
        </is>
      </c>
      <c r="E4" s="2" t="inlineStr">
        <is>
          <t>Bounded improvement</t>
        </is>
      </c>
      <c r="F4" s="2" t="inlineStr">
        <is>
          <t>Success metric</t>
        </is>
      </c>
      <c r="G4" s="2" t="inlineStr">
        <is>
          <t>Safety guardrail</t>
        </is>
      </c>
      <c r="H4" s="2" t="inlineStr">
        <is>
          <t>Effort</t>
        </is>
      </c>
      <c r="I4" s="3" t="inlineStr">
        <is>
          <t>State</t>
        </is>
      </c>
    </row>
    <row r="5" ht="64" customHeight="1">
      <c r="A5" s="14" t="inlineStr">
        <is>
          <t>P0</t>
        </is>
      </c>
      <c r="B5" s="14" t="inlineStr">
        <is>
          <t>Quality + latency</t>
        </is>
      </c>
      <c r="C5" s="14" t="inlineStr">
        <is>
          <t>Pass 2 output-limit retry</t>
        </is>
      </c>
      <c r="D5" s="14" t="inlineStr">
        <is>
          <t>One chunk hit 8,000 tokens and retried at 12,000; ~113 s retry.</t>
        </is>
      </c>
      <c r="E5" s="14" t="inlineStr">
        <is>
          <t>Schema-bounded output, prompt compaction and preflight token budgeting.</t>
        </is>
      </c>
      <c r="F5" s="14" t="inlineStr">
        <is>
          <t>Retry rate; p95 Pass 2 latency; contract completeness</t>
        </is>
      </c>
      <c r="G5" s="14" t="inlineStr">
        <is>
          <t>Do not reduce evidence coverage or prose quality.</t>
        </is>
      </c>
      <c r="H5" s="14" t="inlineStr">
        <is>
          <t>Medium</t>
        </is>
      </c>
      <c r="I5" s="14" t="inlineStr">
        <is>
          <t>Proposed</t>
        </is>
      </c>
    </row>
    <row r="6" ht="64" customHeight="1">
      <c r="A6" s="5" t="inlineStr">
        <is>
          <t>P0</t>
        </is>
      </c>
      <c r="B6" s="5" t="inlineStr">
        <is>
          <t>Quality</t>
        </is>
      </c>
      <c r="C6" s="5" t="inlineStr">
        <is>
          <t>Artifact-health schema drift</t>
        </is>
      </c>
      <c r="D6" s="5" t="inlineStr">
        <is>
          <t>Seed/routing/handoff artifacts scored 0/95–50/95 while pipeline continued.</t>
        </is>
      </c>
      <c r="E6" s="5" t="inlineStr">
        <is>
          <t>Make producer schemas authoritative; gate only fields required by real consumers; version migrations explicitly.</t>
        </is>
      </c>
      <c r="F6" s="5" t="inlineStr">
        <is>
          <t>% artifacts &gt;=95; downstream kickback rate</t>
        </is>
      </c>
      <c r="G6" s="5" t="inlineStr">
        <is>
          <t>Avoid false failures from obsolete health schemas.</t>
        </is>
      </c>
      <c r="H6" s="5" t="inlineStr">
        <is>
          <t>Medium</t>
        </is>
      </c>
      <c r="I6" s="5" t="inlineStr">
        <is>
          <t>Proposed</t>
        </is>
      </c>
    </row>
    <row r="7" ht="64" customHeight="1">
      <c r="A7" s="18" t="inlineStr">
        <is>
          <t>P0</t>
        </is>
      </c>
      <c r="B7" s="18" t="inlineStr">
        <is>
          <t>Quality</t>
        </is>
      </c>
      <c r="C7" s="18" t="inlineStr">
        <is>
          <t>Recommendation suppression forensics</t>
        </is>
      </c>
      <c r="D7" s="18" t="inlineStr">
        <is>
          <t>82/100 historical evaluation produced 0/13 criterion recommendations and 0 cards. This is an observed state, not yet a defect.</t>
        </is>
      </c>
      <c r="E7" s="18" t="inlineStr">
        <is>
          <t>Trace all 13 source recommendations through validation, ownership, disposition and canonicalization; correct only proven loss or over-suppression.</t>
        </is>
      </c>
      <c r="F7" s="18" t="inlineStr">
        <is>
          <t>Safe actionable yield; editor acceptance; unsafe escape rate</t>
        </is>
      </c>
      <c r="G7" s="18" t="inlineStr">
        <is>
          <t>Never promote unsafe or summary-only advice.</t>
        </is>
      </c>
      <c r="H7" s="18" t="inlineStr">
        <is>
          <t>Medium</t>
        </is>
      </c>
      <c r="I7" s="18" t="inlineStr">
        <is>
          <t>Investigation next</t>
        </is>
      </c>
    </row>
    <row r="8" ht="64" customHeight="1">
      <c r="A8" s="5" t="inlineStr">
        <is>
          <t>P0</t>
        </is>
      </c>
      <c r="B8" s="5" t="inlineStr">
        <is>
          <t>Proof completeness</t>
        </is>
      </c>
      <c r="C8" s="5" t="inlineStr">
        <is>
          <t>Held Recovery remains unproven</t>
        </is>
      </c>
      <c r="D8" s="5" t="inlineStr">
        <is>
          <t>No held item occurred, so reconstruction/readmission/card decision were not exercised.</t>
        </is>
      </c>
      <c r="E8" s="5" t="inlineStr">
        <is>
          <t>Use a deterministic recoverable truncated-anchor fixture for exactly one targeted production proof.</t>
        </is>
      </c>
      <c r="F8" s="5" t="inlineStr">
        <is>
          <t>Held→reconstructed→Readmitted success; duplicates=0</t>
        </is>
      </c>
      <c r="G8" s="5" t="inlineStr">
        <is>
          <t>Keep exact-job targeting and remove flag immediately.</t>
        </is>
      </c>
      <c r="H8" s="5" t="inlineStr">
        <is>
          <t>Medium</t>
        </is>
      </c>
      <c r="I8" s="5" t="inlineStr">
        <is>
          <t>Next proof</t>
        </is>
      </c>
    </row>
    <row r="9" ht="64" customHeight="1">
      <c r="A9" s="18" t="inlineStr">
        <is>
          <t>P1</t>
        </is>
      </c>
      <c r="B9" s="18" t="inlineStr">
        <is>
          <t>Latency</t>
        </is>
      </c>
      <c r="C9" s="18" t="inlineStr">
        <is>
          <t>Phase 3 synthesis</t>
        </is>
      </c>
      <c r="D9" s="18" t="inlineStr">
        <is>
          <t>Derived Phase 3 duration was ~496 s, the largest pipeline segment.</t>
        </is>
      </c>
      <c r="E9" s="18" t="inlineStr">
        <is>
          <t>Instrument model, validation and persistence subspans; optimize the dominant measured span.</t>
        </is>
      </c>
      <c r="F9" s="18" t="inlineStr">
        <is>
          <t>p50/p95 Phase 3 by subspan</t>
        </is>
      </c>
      <c r="G9" s="18" t="inlineStr">
        <is>
          <t>Preserve gates and canonical authority.</t>
        </is>
      </c>
      <c r="H9" s="18" t="inlineStr">
        <is>
          <t>Small</t>
        </is>
      </c>
      <c r="I9" s="18" t="inlineStr">
        <is>
          <t>Proposed</t>
        </is>
      </c>
    </row>
    <row r="10" ht="64" customHeight="1">
      <c r="A10" s="5" t="inlineStr">
        <is>
          <t>P1</t>
        </is>
      </c>
      <c r="B10" s="5" t="inlineStr">
        <is>
          <t>Operational friction</t>
        </is>
      </c>
      <c r="C10" s="5" t="inlineStr">
        <is>
          <t>Exact-job flag requires redeploy</t>
        </is>
      </c>
      <c r="D10" s="5" t="inlineStr">
        <is>
          <t>Hold → env change → redeploy → release → cleanup → redeploy is safe but slow.</t>
        </is>
      </c>
      <c r="E10" s="5" t="inlineStr">
        <is>
          <t>Persist a proof-scoped claim/token with existing queue authority and audit expiry.</t>
        </is>
      </c>
      <c r="F10" s="5" t="inlineStr">
        <is>
          <t>Proof setup minutes; accidental target count</t>
        </is>
      </c>
      <c r="G10" s="5" t="inlineStr">
        <is>
          <t>No general-purpose hold/release abstraction.</t>
        </is>
      </c>
      <c r="H10" s="5" t="inlineStr">
        <is>
          <t>Medium</t>
        </is>
      </c>
      <c r="I10" s="5" t="inlineStr">
        <is>
          <t>Proposed</t>
        </is>
      </c>
    </row>
    <row r="11" ht="64" customHeight="1">
      <c r="A11" s="18" t="inlineStr">
        <is>
          <t>P1</t>
        </is>
      </c>
      <c r="B11" s="18" t="inlineStr">
        <is>
          <t>Forensics</t>
        </is>
      </c>
      <c r="C11" s="18" t="inlineStr">
        <is>
          <t>Missing artifact hashes</t>
        </is>
      </c>
      <c r="D11" s="18" t="inlineStr">
        <is>
          <t>Full-context, editorial-dream and Pass 1/2 caches lack row source_hash values.</t>
        </is>
      </c>
      <c r="E11" s="18" t="inlineStr">
        <is>
          <t>Require lineage hash or explicit reason code on every persisted artifact.</t>
        </is>
      </c>
      <c r="F11" s="18" t="inlineStr">
        <is>
          <t>% artifacts with identity+version+hash</t>
        </is>
      </c>
      <c r="G11" s="18" t="inlineStr">
        <is>
          <t>Do not hash manuscript prose into logs.</t>
        </is>
      </c>
      <c r="H11" s="18" t="inlineStr">
        <is>
          <t>Small</t>
        </is>
      </c>
      <c r="I11" s="18" t="inlineStr">
        <is>
          <t>Proposed</t>
        </is>
      </c>
    </row>
    <row r="12" ht="64" customHeight="1">
      <c r="A12" s="5" t="inlineStr">
        <is>
          <t>P2</t>
        </is>
      </c>
      <c r="B12" s="5" t="inlineStr">
        <is>
          <t>Observability</t>
        </is>
      </c>
      <c r="C12" s="5" t="inlineStr">
        <is>
          <t>Repeated configuration logs</t>
        </is>
      </c>
      <c r="D12" s="5" t="inlineStr">
        <is>
          <t>Supabase configuration messages add noise without process evidence.</t>
        </is>
      </c>
      <c r="E12" s="5" t="inlineStr">
        <is>
          <t>Deduplicate startup logs and emit structured phase duration/correlation fields.</t>
        </is>
      </c>
      <c r="F12" s="5" t="inlineStr">
        <is>
          <t>Log volume/job; signal-to-noise</t>
        </is>
      </c>
      <c r="G12" s="5" t="inlineStr">
        <is>
          <t>Retain errors, job IDs and gate decisions.</t>
        </is>
      </c>
      <c r="H12" s="5" t="inlineStr">
        <is>
          <t>Small</t>
        </is>
      </c>
      <c r="I12" s="5" t="inlineStr">
        <is>
          <t>Proposed</t>
        </is>
      </c>
    </row>
    <row r="13" ht="64" customHeight="1">
      <c r="A13" s="18" t="inlineStr">
        <is>
          <t>P2</t>
        </is>
      </c>
      <c r="B13" s="18" t="inlineStr">
        <is>
          <t>Developer friction</t>
        </is>
      </c>
      <c r="C13" s="18" t="inlineStr">
        <is>
          <t>Chromium path on Windows</t>
        </is>
      </c>
      <c r="D13" s="18" t="inlineStr">
        <is>
          <t>Presentation tests require a separately configured Chromium executable.</t>
        </is>
      </c>
      <c r="E13" s="18" t="inlineStr">
        <is>
          <t>Standardize test runtime bootstrap and document the routed suite.</t>
        </is>
      </c>
      <c r="F13" s="18" t="inlineStr">
        <is>
          <t>Local full-suite reproducibility</t>
        </is>
      </c>
      <c r="G13" s="18" t="inlineStr">
        <is>
          <t>Environment repair only; no product behavior change.</t>
        </is>
      </c>
      <c r="H13" s="18" t="inlineStr">
        <is>
          <t>Small</t>
        </is>
      </c>
      <c r="I13" s="18" t="inlineStr">
        <is>
          <t>Proposed</t>
        </is>
      </c>
    </row>
    <row r="14" ht="64" customHeight="1">
      <c r="A14" s="6" t="inlineStr">
        <is>
          <t>Done</t>
        </is>
      </c>
      <c r="B14" s="6" t="inlineStr">
        <is>
          <t>CI reliability</t>
        </is>
      </c>
      <c r="C14" s="6" t="inlineStr">
        <is>
          <t>GitHub 503 transients</t>
        </is>
      </c>
      <c r="D14" s="6" t="inlineStr">
        <is>
          <t>Latency/head freshness guards repeatedly failed on retryable GitHub API 503s.</t>
        </is>
      </c>
      <c r="E14" s="6" t="inlineStr">
        <is>
          <t>Three bounded retries plus contract preventing removal.</t>
        </is>
      </c>
      <c r="F14" s="6" t="inlineStr">
        <is>
          <t>False CI failures from 5xx</t>
        </is>
      </c>
      <c r="G14" s="6" t="inlineStr">
        <is>
          <t>4xx/governance violations still fail closed.</t>
        </is>
      </c>
      <c r="H14" s="6" t="inlineStr">
        <is>
          <t>Done</t>
        </is>
      </c>
      <c r="I14" s="6" t="inlineStr">
        <is>
          <t>Implemented</t>
        </is>
      </c>
    </row>
    <row r="15" ht="22.79999923706055" customHeight="1">
      <c r="A15" s="67" t="inlineStr">
        <is>
          <t>P0</t>
        </is>
      </c>
      <c r="B15" s="67" t="inlineStr">
        <is>
          <t>Governance</t>
        </is>
      </c>
      <c r="C15" s="67" t="inlineStr">
        <is>
          <t>Repository contract parity</t>
        </is>
      </c>
      <c r="D15" s="67" t="inlineStr">
        <is>
          <t>Generated CSV mirrors were stale and the empty-ledger certification registry contradicted production semantics.</t>
        </is>
      </c>
      <c r="E15" s="67" t="inlineStr">
        <is>
          <t>Regenerate mirrors from executable registries and gate parity in CI.</t>
        </is>
      </c>
      <c r="F15" s="67" t="inlineStr">
        <is>
          <t>Registry export diff=0; governed empty not blocked</t>
        </is>
      </c>
      <c r="G15" s="67" t="inlineStr">
        <is>
          <t>Workbook remains derived only.</t>
        </is>
      </c>
      <c r="H15" s="67" t="inlineStr">
        <is>
          <t>Small</t>
        </is>
      </c>
      <c r="I15" s="67" t="inlineStr">
        <is>
          <t>PR #1355</t>
        </is>
      </c>
    </row>
    <row r="16" ht="22.79999923706055" customHeight="1">
      <c r="A16" s="67" t="inlineStr">
        <is>
          <t>P0</t>
        </is>
      </c>
      <c r="B16" s="67" t="inlineStr">
        <is>
          <t>Reliability</t>
        </is>
      </c>
      <c r="C16" s="67" t="inlineStr">
        <is>
          <t>Disposition lineage diagnostics</t>
        </is>
      </c>
      <c r="D16" s="67" t="inlineStr">
        <is>
          <t>Silent recommendation loss was not independently measurable.</t>
        </is>
      </c>
      <c r="E16" s="67" t="inlineStr">
        <is>
          <t>Emit deterministic disposition, validation, governing-rule, criterion and authority counters.</t>
        </is>
      </c>
      <c r="F16" s="67" t="inlineStr">
        <is>
          <t>Lineage coverage=100%; counter reconciliation exact</t>
        </is>
      </c>
      <c r="G16" s="67" t="inlineStr">
        <is>
          <t>No minimum queue count; metrics never admit work.</t>
        </is>
      </c>
      <c r="H16" s="67" t="inlineStr">
        <is>
          <t>Medium</t>
        </is>
      </c>
      <c r="I16" s="67" t="inlineStr">
        <is>
          <t>MERGED #1356 / LIVE via 7e3b1eb</t>
        </is>
      </c>
    </row>
    <row r="17" ht="22.79999923706055" customHeight="1">
      <c r="A17" s="67" t="inlineStr">
        <is>
          <t>P1</t>
        </is>
      </c>
      <c r="B17" s="67" t="inlineStr">
        <is>
          <t>Quality</t>
        </is>
      </c>
      <c r="C17" s="67" t="inlineStr">
        <is>
          <t>Producer–consumer artifact reconciliation</t>
        </is>
      </c>
      <c r="D17" s="67" t="inlineStr">
        <is>
          <t>Historical artifact-health scores ranged 0/95–50/95 while processing continued.</t>
        </is>
      </c>
      <c r="E17" s="67" t="inlineStr">
        <is>
          <t>Bind each artifact producer to persisted schema, validator and actual consumer before changing producers.</t>
        </is>
      </c>
      <c r="F17" s="67" t="inlineStr">
        <is>
          <t>Required-field completeness; kickback accuracy; false rejection rate</t>
        </is>
      </c>
      <c r="G17" s="67" t="inlineStr">
        <is>
          <t>pass12_handoff_v1 corrected; remaining artifacts pending.</t>
        </is>
      </c>
      <c r="H17" s="67" t="inlineStr">
        <is>
          <t>Medium</t>
        </is>
      </c>
      <c r="I17" s="67" t="inlineStr">
        <is>
          <t>MERGED #1357</t>
        </is>
      </c>
    </row>
    <row r="18" ht="22.79999923706055" customHeight="1">
      <c r="A18" s="67" t="inlineStr">
        <is>
          <t>P1</t>
        </is>
      </c>
      <c r="B18" s="67" t="inlineStr">
        <is>
          <t>Observability</t>
        </is>
      </c>
      <c r="C18" s="67" t="inlineStr">
        <is>
          <t>Workbench diagnostic source attribution</t>
        </is>
      </c>
      <c r="D18" s="67" t="inlineStr">
        <is>
          <t>Executability, preflight, hydration and RES blocker arrays can converge into shared families.</t>
        </is>
      </c>
      <c r="E18" s="67" t="inlineStr">
        <is>
          <t>Retain per-source raw counts, family classification and leakage metrics.</t>
        </is>
      </c>
      <c r="F18" s="67" t="inlineStr">
        <is>
          <t>Classification coverage=100%; leakage=0</t>
        </is>
      </c>
      <c r="G18" s="67" t="inlineStr">
        <is>
          <t>Public fields contain no raw codes.</t>
        </is>
      </c>
      <c r="H18" s="67" t="inlineStr">
        <is>
          <t>Small</t>
        </is>
      </c>
      <c r="I18" s="67" t="inlineStr">
        <is>
          <t>Audit contract complete</t>
        </is>
      </c>
    </row>
  </sheetData>
  <mergeCells count="2">
    <mergeCell ref="A1:I1"/>
    <mergeCell ref="A2:I2"/>
  </mergeCells>
  <conditionalFormatting sqref="I5:I14">
    <cfRule type="containsText" priority="1" operator="containsText" dxfId="2" text="PASS"/>
    <cfRule type="containsText" priority="2" operator="containsText" dxfId="1" text="NEEDS"/>
    <cfRule type="containsText" priority="3" operator="containsText" dxfId="0" text="UNPROVEN"/>
  </conditionalFormatting>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3.80000019073486"/>
  <cols>
    <col width="12" customWidth="1" min="1" max="1"/>
    <col width="26" customWidth="1" min="2" max="2"/>
    <col width="72" customWidth="1" min="3" max="3"/>
    <col width="52" customWidth="1" min="4" max="4"/>
  </cols>
  <sheetData>
    <row r="1" ht="34" customHeight="1">
      <c r="A1" s="62" t="inlineStr">
        <is>
          <t>Evidence IDs</t>
        </is>
      </c>
    </row>
    <row r="2" ht="32.04999923706055" customHeight="1">
      <c r="A2" s="63" t="inlineStr">
        <is>
          <t>Identifiers are non-secret. Temporary credentials and environment values are intentionally excluded.</t>
        </is>
      </c>
    </row>
    <row r="3"/>
    <row r="4" ht="34" customHeight="1">
      <c r="A4" s="1" t="inlineStr">
        <is>
          <t>ID</t>
        </is>
      </c>
      <c r="B4" s="2" t="inlineStr">
        <is>
          <t>Evidence</t>
        </is>
      </c>
      <c r="C4" s="2" t="inlineStr">
        <is>
          <t>Identifier / link</t>
        </is>
      </c>
      <c r="D4" s="3" t="inlineStr">
        <is>
          <t>What it proves</t>
        </is>
      </c>
    </row>
    <row r="5" ht="42" customHeight="1">
      <c r="A5" s="14" t="inlineStr">
        <is>
          <t>EV-01</t>
        </is>
      </c>
      <c r="B5" s="14" t="inlineStr">
        <is>
          <t>PR #1348</t>
        </is>
      </c>
      <c r="C5" s="14" t="inlineStr">
        <is>
          <t>https://github.com/Mmeraw/literary-ai-partner/pull/1348</t>
        </is>
      </c>
      <c r="D5" s="14" t="inlineStr">
        <is>
          <t>12 files; 286 additions; 6 deletions; all required checks green.</t>
        </is>
      </c>
    </row>
    <row r="6" ht="42" customHeight="1">
      <c r="A6" s="5" t="inlineStr">
        <is>
          <t>EV-02</t>
        </is>
      </c>
      <c r="B6" s="5" t="inlineStr">
        <is>
          <t>Merged commit</t>
        </is>
      </c>
      <c r="C6" s="5" t="inlineStr">
        <is>
          <t>b14d54b5501f6611eabe1bd5eb21afdb10faac2b</t>
        </is>
      </c>
      <c r="D6" s="5" t="inlineStr">
        <is>
          <t>Exact production code under proof.</t>
        </is>
      </c>
    </row>
    <row r="7" ht="42" customHeight="1">
      <c r="A7" s="18" t="inlineStr">
        <is>
          <t>EV-03</t>
        </is>
      </c>
      <c r="B7" s="18" t="inlineStr">
        <is>
          <t>Reviewed head</t>
        </is>
      </c>
      <c r="C7" s="18" t="inlineStr">
        <is>
          <t>b2cc71ef30dfa273ce219da65bd2d7b848fb299b</t>
        </is>
      </c>
      <c r="D7" s="18" t="inlineStr">
        <is>
          <t>Exact PR head before squash merge.</t>
        </is>
      </c>
    </row>
    <row r="8" ht="42" customHeight="1">
      <c r="A8" s="5" t="inlineStr">
        <is>
          <t>EV-04</t>
        </is>
      </c>
      <c r="B8" s="5" t="inlineStr">
        <is>
          <t>Production deployment</t>
        </is>
      </c>
      <c r="C8" s="5" t="inlineStr">
        <is>
          <t>dpl_3rCQJmnHWUdJfhvdiFKyoVfdQBow</t>
        </is>
      </c>
      <c r="D8" s="5" t="inlineStr">
        <is>
          <t>READY after exact-job flag removal.</t>
        </is>
      </c>
    </row>
    <row r="9" ht="42" customHeight="1">
      <c r="A9" s="18" t="inlineStr">
        <is>
          <t>EV-05</t>
        </is>
      </c>
      <c r="B9" s="18" t="inlineStr">
        <is>
          <t>Production URL</t>
        </is>
      </c>
      <c r="C9" s="18" t="inlineStr">
        <is>
          <t>https://www.revisiongrade.com</t>
        </is>
      </c>
      <c r="D9" s="18" t="inlineStr">
        <is>
          <t>Health endpoint returned 200.</t>
        </is>
      </c>
    </row>
    <row r="10" ht="42" customHeight="1">
      <c r="A10" s="5" t="inlineStr">
        <is>
          <t>EV-06</t>
        </is>
      </c>
      <c r="B10" s="5" t="inlineStr">
        <is>
          <t>Evaluation job</t>
        </is>
      </c>
      <c r="C10" s="5" t="inlineStr">
        <is>
          <t>2a3b7e14-c898-44eb-a85a-e2e6e9980880</t>
        </is>
      </c>
      <c r="D10" s="5" t="inlineStr">
        <is>
          <t>Fresh controlled proof run.</t>
        </is>
      </c>
    </row>
    <row r="11" ht="42" customHeight="1">
      <c r="A11" s="18" t="inlineStr">
        <is>
          <t>EV-07</t>
        </is>
      </c>
      <c r="B11" s="18" t="inlineStr">
        <is>
          <t>Manuscript</t>
        </is>
      </c>
      <c r="C11" s="18" t="inlineStr">
        <is>
          <t>7764</t>
        </is>
      </c>
      <c r="D11" s="18" t="inlineStr">
        <is>
          <t>Held Recovery Live Proof — The River Remembers Blood — Chapter 3.</t>
        </is>
      </c>
    </row>
    <row r="12" ht="42" customHeight="1">
      <c r="A12" s="5" t="inlineStr">
        <is>
          <t>EV-08</t>
        </is>
      </c>
      <c r="B12" s="5" t="inlineStr">
        <is>
          <t>Trace</t>
        </is>
      </c>
      <c r="C12" s="5" t="inlineStr">
        <is>
          <t>c9d867c2-212f-447e-9b25-9fad21a2be51</t>
        </is>
      </c>
      <c r="D12" s="5" t="inlineStr">
        <is>
          <t>Submission correlation ID.</t>
        </is>
      </c>
    </row>
    <row r="13" ht="42" customHeight="1">
      <c r="A13" s="18" t="inlineStr">
        <is>
          <t>EV-09</t>
        </is>
      </c>
      <c r="B13" s="18" t="inlineStr">
        <is>
          <t>Artifact evidence</t>
        </is>
      </c>
      <c r="C13" s="18" t="inlineStr">
        <is>
          <t>proof-forensics.json</t>
        </is>
      </c>
      <c r="D13" s="18" t="inlineStr">
        <is>
          <t>23 persisted evaluation artifacts and derived metrics.</t>
        </is>
      </c>
    </row>
    <row r="14" ht="42" customHeight="1">
      <c r="A14" s="5" t="inlineStr">
        <is>
          <t>EV-10</t>
        </is>
      </c>
      <c r="B14" s="5" t="inlineStr">
        <is>
          <t>Revise ledger row</t>
        </is>
      </c>
      <c r="C14" s="5" t="inlineStr">
        <is>
          <t>eb1d9ae7-b48b-4e45-806f-95a2d4d8170a</t>
        </is>
      </c>
      <c r="D14" s="5" t="inlineStr">
        <is>
          <t>One canonical_full row; zero canonical/rendered opportunities.</t>
        </is>
      </c>
    </row>
    <row r="15" ht="42" customHeight="1">
      <c r="A15" s="18" t="inlineStr">
        <is>
          <t>EV-11</t>
        </is>
      </c>
      <c r="B15" s="18" t="inlineStr">
        <is>
          <t>Workbench route</t>
        </is>
      </c>
      <c r="C15" s="18" t="inlineStr">
        <is>
          <t>https://www.revisiongrade.com/workbench-v2?manuscriptId=7764&amp;evaluationJobId=2a3b7e14-c898-44eb-a85a-e2e6e9980880</t>
        </is>
      </c>
      <c r="D15" s="18" t="inlineStr">
        <is>
          <t>Authenticated empty-state proof and reload.</t>
        </is>
      </c>
    </row>
    <row r="16" ht="42" customHeight="1">
      <c r="A16" s="6" t="inlineStr">
        <is>
          <t>EV-12</t>
        </is>
      </c>
      <c r="B16" s="6" t="inlineStr">
        <is>
          <t>CI evidence</t>
        </is>
      </c>
      <c r="C16" s="6" t="inlineStr">
        <is>
          <t>26 passed; 3 skipped; 0 failed</t>
        </is>
      </c>
      <c r="D16" s="6" t="inlineStr">
        <is>
          <t>Linux CI, guards, proof pack and alignment succeeded.</t>
        </is>
      </c>
    </row>
    <row r="17" ht="22.79999923706055" customHeight="1">
      <c r="A17" s="67" t="inlineStr">
        <is>
          <t>EV-13</t>
        </is>
      </c>
      <c r="B17" s="67" t="inlineStr">
        <is>
          <t>PR #1354</t>
        </is>
      </c>
      <c r="C17" s="67" t="inlineStr">
        <is>
          <t>https://github.com/Mmeraw/literary-ai-partner/pull/1354</t>
        </is>
      </c>
      <c r="D17" s="67" t="inlineStr">
        <is>
          <t>Recommendation disposition governance and author-safe Held presentation; exact-head gates green.</t>
        </is>
      </c>
    </row>
    <row r="18">
      <c r="A18" s="67" t="inlineStr">
        <is>
          <t>EV-14</t>
        </is>
      </c>
      <c r="B18" s="67" t="inlineStr">
        <is>
          <t>PR #1354 merge</t>
        </is>
      </c>
      <c r="C18" s="67" t="inlineStr">
        <is>
          <t>bca7b094cbeb2dcf6b451d753cc39f78bbdca546</t>
        </is>
      </c>
      <c r="D18" s="67" t="inlineStr">
        <is>
          <t>Exact merged production source.</t>
        </is>
      </c>
    </row>
    <row r="19">
      <c r="A19" s="67" t="inlineStr">
        <is>
          <t>EV-15</t>
        </is>
      </c>
      <c r="B19" s="67" t="inlineStr">
        <is>
          <t>Production health</t>
        </is>
      </c>
      <c r="C19" s="67" t="inlineStr">
        <is>
          <t>https://www.revisiongrade.com/api/health → 200 / git_sha bca7b09</t>
        </is>
      </c>
      <c r="D19" s="67" t="inlineStr">
        <is>
          <t>Confirms merged correction is live in production.</t>
        </is>
      </c>
    </row>
    <row r="20" ht="22.79999923706055" customHeight="1">
      <c r="A20" s="67" t="inlineStr">
        <is>
          <t>EV-16</t>
        </is>
      </c>
      <c r="B20" s="67" t="inlineStr">
        <is>
          <t>Governance PR #1355 / merge</t>
        </is>
      </c>
      <c r="C20" s="67" t="inlineStr">
        <is>
          <t>https://github.com/Mmeraw/literary-ai-partner/pull/1355 — 4eccf05e6e184ec145e5a9cd735de3303e166cfb</t>
        </is>
      </c>
      <c r="D20" s="67" t="inlineStr">
        <is>
          <t>Repository-authoritative SIPOC/FIPOC metrics, kickbacks and generated mirrors; merged.</t>
        </is>
      </c>
    </row>
    <row r="21" ht="22.79999923706055" customHeight="1">
      <c r="A21" s="67" t="inlineStr">
        <is>
          <t>EV-17</t>
        </is>
      </c>
      <c r="B21" s="67" t="inlineStr">
        <is>
          <t>Registry authority</t>
        </is>
      </c>
      <c r="C21" s="67" t="inlineStr">
        <is>
          <t>lib/evaluation/fipocRegistry.ts; lib/revision/reviseRegistry.ts</t>
        </is>
      </c>
      <c r="D21" s="67" t="inlineStr">
        <is>
          <t>Single source of truth for Evaluate→Revise process inputs, outputs, metrics and kickbacks.</t>
        </is>
      </c>
    </row>
    <row r="22">
      <c r="A22" s="67" t="inlineStr">
        <is>
          <t>EV-18</t>
        </is>
      </c>
      <c r="B22" s="67" t="inlineStr">
        <is>
          <t>Registry contract evidence</t>
        </is>
      </c>
      <c r="C22" s="67" t="inlineStr">
        <is>
          <t>127 focused/neighboring tests; tsc; ESLint; critical guard; diff check</t>
        </is>
      </c>
      <c r="D22" s="67" t="inlineStr">
        <is>
          <t>Local verification for PR #1355 exact source f4abc6d3.</t>
        </is>
      </c>
    </row>
    <row r="23" ht="22.79999923706055" customHeight="1">
      <c r="A23" s="67" t="inlineStr">
        <is>
          <t>EV-19</t>
        </is>
      </c>
      <c r="B23" s="67" t="inlineStr">
        <is>
          <t>Suppression forensics PR #1356</t>
        </is>
      </c>
      <c r="C23" s="67" t="inlineStr">
        <is>
          <t>https://github.com/Mmeraw/literary-ai-partner/pull/1356 — 9efadc440b414ecc336418a8fc88e0cca3190d48</t>
        </is>
      </c>
      <c r="D23" s="67" t="inlineStr">
        <is>
          <t>Versioned deterministic counters; Phase 5 recomputation; 183 local tests and all exact-head workflows passed.</t>
        </is>
      </c>
    </row>
    <row r="24">
      <c r="A24" s="67" t="inlineStr">
        <is>
          <t>EV-20</t>
        </is>
      </c>
      <c r="B24" s="67" t="inlineStr">
        <is>
          <t>Suppression forensics production</t>
        </is>
      </c>
      <c r="C24" s="67" t="inlineStr">
        <is>
          <t>https://www.revisiongrade.com/api/health → 200 / git_sha 9efadc4</t>
        </is>
      </c>
      <c r="D24" s="67" t="inlineStr">
        <is>
          <t>Confirms #1356 is live.</t>
        </is>
      </c>
    </row>
    <row r="25" ht="22.79999923706055" customHeight="1">
      <c r="A25" s="67" t="inlineStr">
        <is>
          <t>EV-21</t>
        </is>
      </c>
      <c r="B25" s="67" t="inlineStr">
        <is>
          <t>Handoff reconciliation PR #1357</t>
        </is>
      </c>
      <c r="C25" s="67" t="inlineStr">
        <is>
          <t>https://github.com/Mmeraw/literary-ai-partner/pull/1357 — 7e3b1eba34d510a376b0ef30bf5f2c3e506e6109</t>
        </is>
      </c>
      <c r="D25" s="67" t="inlineStr">
        <is>
          <t>Reconciles pass12_handoff_v1 producer, persisted content, health validator and Phase 3 consumer contract.</t>
        </is>
      </c>
    </row>
    <row r="26">
      <c r="A26" s="67" t="inlineStr">
        <is>
          <t>EV-22</t>
        </is>
      </c>
      <c r="B26" s="67" t="inlineStr">
        <is>
          <t>Handoff reconciliation production</t>
        </is>
      </c>
      <c r="C26" s="67" t="inlineStr">
        <is>
          <t>https://www.revisiongrade.com/api/health → 200 / git_sha 7e3b1eb</t>
        </is>
      </c>
      <c r="D26" s="67" t="inlineStr">
        <is>
          <t>Confirms #1357 is live and includes #1356 suppression forensics.</t>
        </is>
      </c>
    </row>
    <row r="27" ht="22.79999923706055" customHeight="1">
      <c r="A27" s="67" t="inlineStr">
        <is>
          <t>EV-23</t>
        </is>
      </c>
      <c r="B27" s="67" t="inlineStr">
        <is>
          <t>Handoff characterization</t>
        </is>
      </c>
      <c r="C27" s="67" t="inlineStr">
        <is>
          <t>33 focused/neighboring tests; tsc; ESLint; critical guard; Flow 1 and full CI</t>
        </is>
      </c>
      <c r="D27" s="67" t="inlineStr">
        <is>
          <t>Actual durable handoff certifies cleanly; missing Pass 2 payload kicks back as degraded.</t>
        </is>
      </c>
    </row>
    <row r="28">
      <c r="A28" t="inlineStr">
        <is>
          <t>EV-24</t>
        </is>
      </c>
      <c r="B28" t="inlineStr">
        <is>
          <t>Live Diamonds evaluation job</t>
        </is>
      </c>
      <c r="C28" t="inlineStr">
        <is>
          <t>25d4192b-f1c4-4356-bddc-2cef98120ef7</t>
        </is>
      </c>
      <c r="D28" t="inlineStr">
        <is>
          <t>Fresh controlled production run started 2026-07-21 16:27 UTC; failed at Pass 3B.</t>
        </is>
      </c>
    </row>
    <row r="29">
      <c r="A29" t="inlineStr">
        <is>
          <t>EV-25</t>
        </is>
      </c>
      <c r="B29" t="inlineStr">
        <is>
          <t>Production health</t>
        </is>
      </c>
      <c r="C29" t="inlineStr">
        <is>
          <t>https://www.revisiongrade.com/api/health</t>
        </is>
      </c>
      <c r="D29" t="inlineStr">
        <is>
          <t>git_sha 2bf878b matches main; production alignment green before the run.</t>
        </is>
      </c>
    </row>
  </sheetData>
  <mergeCells count="2">
    <mergeCell ref="A1:D1"/>
    <mergeCell ref="A2:D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3.80000019073486"/>
  <cols>
    <col width="25" customWidth="1" min="1" max="1"/>
    <col width="20" customWidth="1" min="2" max="3"/>
    <col width="18" customWidth="1" min="4" max="4"/>
    <col width="22" customWidth="1" min="5" max="5"/>
    <col width="23" customWidth="1" min="6" max="7"/>
    <col width="42" customWidth="1" min="8" max="8"/>
  </cols>
  <sheetData>
    <row r="1" ht="28" customHeight="1">
      <c r="A1" s="64" t="inlineStr">
        <is>
          <t>RevisionGrade Release Readiness Dashboard</t>
        </is>
      </c>
    </row>
    <row r="2" ht="28" customHeight="1">
      <c r="A2" s="65" t="inlineStr">
        <is>
          <t>Executive view as of 2026-07-20. Repository TypeScript registries remain authoritative; this dashboard classifies the strength of supporting evidence.</t>
        </is>
      </c>
    </row>
    <row r="4" ht="15" customHeight="1">
      <c r="A4" s="66" t="inlineStr">
        <is>
          <t>Capability</t>
        </is>
      </c>
      <c r="B4" s="66" t="inlineStr">
        <is>
          <t>Design contract</t>
        </is>
      </c>
      <c r="C4" s="66" t="inlineStr">
        <is>
          <t>Static verification</t>
        </is>
      </c>
      <c r="D4" s="66" t="inlineStr">
        <is>
          <t>CI verification</t>
        </is>
      </c>
      <c r="E4" s="66" t="inlineStr">
        <is>
          <t>Production deployment</t>
        </is>
      </c>
      <c r="F4" s="66" t="inlineStr">
        <is>
          <t>Live production proof</t>
        </is>
      </c>
      <c r="G4" s="66" t="inlineStr">
        <is>
          <t>Executive state</t>
        </is>
      </c>
      <c r="H4" s="66" t="inlineStr">
        <is>
          <t>Next gate</t>
        </is>
      </c>
    </row>
    <row r="5" ht="15" customHeight="1">
      <c r="A5" s="67" t="inlineStr">
        <is>
          <t>Evaluate completion</t>
        </is>
      </c>
      <c r="B5" s="67" t="inlineStr">
        <is>
          <t>PASS</t>
        </is>
      </c>
      <c r="C5" s="67" t="inlineStr">
        <is>
          <t>PASS</t>
        </is>
      </c>
      <c r="D5" s="67" t="inlineStr">
        <is>
          <t>PASS</t>
        </is>
      </c>
      <c r="E5" s="67" t="inlineStr">
        <is>
          <t>LIVE — 7e3b1eb</t>
        </is>
      </c>
      <c r="F5" s="67" t="inlineStr">
        <is>
          <t>PASS — historical job</t>
        </is>
      </c>
      <c r="G5" s="52" t="inlineStr">
        <is>
          <t>OPERATIONAL</t>
        </is>
      </c>
      <c r="H5" s="67" t="inlineStr">
        <is>
          <t>Inspect a fresh run with current suppression counters.</t>
        </is>
      </c>
    </row>
    <row r="6" ht="15" customHeight="1">
      <c r="A6" s="67" t="inlineStr">
        <is>
          <t>Recommendation lineage</t>
        </is>
      </c>
      <c r="B6" s="67" t="inlineStr">
        <is>
          <t>PASS — v1</t>
        </is>
      </c>
      <c r="C6" s="67" t="inlineStr">
        <is>
          <t>PASS — 183 tests</t>
        </is>
      </c>
      <c r="D6" s="67" t="inlineStr">
        <is>
          <t>PASS</t>
        </is>
      </c>
      <c r="E6" s="67" t="inlineStr">
        <is>
          <t>LIVE</t>
        </is>
      </c>
      <c r="F6" s="67" t="inlineStr">
        <is>
          <t>NOT YET INSPECTED LIVE</t>
        </is>
      </c>
      <c r="G6" s="52" t="inlineStr">
        <is>
          <t>DEPLOYED / PROOF OPEN</t>
        </is>
      </c>
      <c r="H6" s="67" t="inlineStr">
        <is>
          <t>Confirm all 13 criterion dispositions and counters on a fresh run.</t>
        </is>
      </c>
    </row>
    <row r="7" ht="15" customHeight="1">
      <c r="A7" s="67" t="inlineStr">
        <is>
          <t>Pass 1/2 → Phase 3 handoff</t>
        </is>
      </c>
      <c r="B7" s="67" t="inlineStr">
        <is>
          <t>PASS — reconciled</t>
        </is>
      </c>
      <c r="C7" s="67" t="inlineStr">
        <is>
          <t>PASS — 33 tests</t>
        </is>
      </c>
      <c r="D7" s="67" t="inlineStr">
        <is>
          <t>PASS</t>
        </is>
      </c>
      <c r="E7" s="67" t="inlineStr">
        <is>
          <t>LIVE — 7e3b1eb</t>
        </is>
      </c>
      <c r="F7" s="67" t="inlineStr">
        <is>
          <t>HISTORICAL PROCESSING PASS</t>
        </is>
      </c>
      <c r="G7" s="52" t="inlineStr">
        <is>
          <t>OPERATIONAL</t>
        </is>
      </c>
      <c r="H7" s="67" t="inlineStr">
        <is>
          <t>Continue reconciliation for remaining artifact families.</t>
        </is>
      </c>
    </row>
    <row r="8" ht="21.60000038146973" customHeight="1">
      <c r="A8" s="67" t="inlineStr">
        <is>
          <t>Canonical Revise authority</t>
        </is>
      </c>
      <c r="B8" s="67" t="inlineStr">
        <is>
          <t>PASS</t>
        </is>
      </c>
      <c r="C8" s="67" t="inlineStr">
        <is>
          <t>PASS</t>
        </is>
      </c>
      <c r="D8" s="67" t="inlineStr">
        <is>
          <t>PASS</t>
        </is>
      </c>
      <c r="E8" s="67" t="inlineStr">
        <is>
          <t>LIVE</t>
        </is>
      </c>
      <c r="F8" s="67" t="inlineStr">
        <is>
          <t>PASS — governed empty</t>
        </is>
      </c>
      <c r="G8" s="52" t="inlineStr">
        <is>
          <t>OPERATIONAL</t>
        </is>
      </c>
      <c r="H8" s="67" t="inlineStr">
        <is>
          <t>Prove non-empty actionable queue on safe admitted recommendations.</t>
        </is>
      </c>
    </row>
    <row r="9" ht="15" customHeight="1">
      <c r="A9" s="67" t="inlineStr">
        <is>
          <t>Workbench empty authority</t>
        </is>
      </c>
      <c r="B9" s="67" t="inlineStr">
        <is>
          <t>PASS</t>
        </is>
      </c>
      <c r="C9" s="67" t="inlineStr">
        <is>
          <t>PASS</t>
        </is>
      </c>
      <c r="D9" s="67" t="inlineStr">
        <is>
          <t>PASS</t>
        </is>
      </c>
      <c r="E9" s="67" t="inlineStr">
        <is>
          <t>LIVE</t>
        </is>
      </c>
      <c r="F9" s="67" t="inlineStr">
        <is>
          <t>PASS — reload stable</t>
        </is>
      </c>
      <c r="G9" s="52" t="inlineStr">
        <is>
          <t>PROVEN</t>
        </is>
      </c>
      <c r="H9" s="67" t="inlineStr">
        <is>
          <t>Retain fail-closed missing/malformed authority tests.</t>
        </is>
      </c>
    </row>
    <row r="10" ht="21.60000038146973" customHeight="1">
      <c r="A10" s="67" t="inlineStr">
        <is>
          <t>Author-safe Held presentation</t>
        </is>
      </c>
      <c r="B10" s="67" t="inlineStr">
        <is>
          <t>PASS</t>
        </is>
      </c>
      <c r="C10" s="67" t="inlineStr">
        <is>
          <t>PASS</t>
        </is>
      </c>
      <c r="D10" s="67" t="inlineStr">
        <is>
          <t>PASS</t>
        </is>
      </c>
      <c r="E10" s="67" t="inlineStr">
        <is>
          <t>LIVE</t>
        </is>
      </c>
      <c r="F10" s="67" t="inlineStr">
        <is>
          <t>UI OBSERVED; FULL RECOVERY OPEN</t>
        </is>
      </c>
      <c r="G10" s="53" t="inlineStr">
        <is>
          <t>DEPLOYED / PARTIAL PROOF</t>
        </is>
      </c>
      <c r="H10" s="67" t="inlineStr">
        <is>
          <t>Exercise with a genuine recovered Held item.</t>
        </is>
      </c>
    </row>
    <row r="11" ht="21.60000038146973" customHeight="1">
      <c r="A11" s="67" t="inlineStr">
        <is>
          <t>Held Recovery causal chain</t>
        </is>
      </c>
      <c r="B11" s="67" t="inlineStr">
        <is>
          <t>PASS — components</t>
        </is>
      </c>
      <c r="C11" s="67" t="inlineStr">
        <is>
          <t>PASS — contracts</t>
        </is>
      </c>
      <c r="D11" s="67" t="inlineStr">
        <is>
          <t>PASS</t>
        </is>
      </c>
      <c r="E11" s="67" t="inlineStr">
        <is>
          <t>LIVE — components</t>
        </is>
      </c>
      <c r="F11" s="67" t="inlineStr">
        <is>
          <t>UNPROVEN END TO END</t>
        </is>
      </c>
      <c r="G11" s="54" t="inlineStr">
        <is>
          <t>NOT PRODUCTION PROVEN</t>
        </is>
      </c>
      <c r="H11" s="67" t="inlineStr">
        <is>
          <t>Complete HR-000 through HR-015 with cardinality and isolation evidence.</t>
        </is>
      </c>
    </row>
    <row r="12" ht="21.60000038146973" customHeight="1">
      <c r="A12" s="67" t="inlineStr">
        <is>
          <t>Decision + reload after Readmission</t>
        </is>
      </c>
      <c r="B12" s="67" t="inlineStr">
        <is>
          <t>PASS — path</t>
        </is>
      </c>
      <c r="C12" s="67" t="inlineStr">
        <is>
          <t>PASS — contracts</t>
        </is>
      </c>
      <c r="D12" s="67" t="inlineStr">
        <is>
          <t>PASS</t>
        </is>
      </c>
      <c r="E12" s="67" t="inlineStr">
        <is>
          <t>LIVE — components</t>
        </is>
      </c>
      <c r="F12" s="67" t="inlineStr">
        <is>
          <t>UNPROVEN</t>
        </is>
      </c>
      <c r="G12" s="54" t="inlineStr">
        <is>
          <t>NOT PRODUCTION PROVEN</t>
        </is>
      </c>
      <c r="H12" s="67" t="inlineStr">
        <is>
          <t>Persist one real decision and verify identical state after reload/replay.</t>
        </is>
      </c>
    </row>
    <row r="15" ht="15" customHeight="1">
      <c r="A15" s="66" t="inlineStr">
        <is>
          <t>Evidence class</t>
        </is>
      </c>
      <c r="B15" s="66" t="inlineStr">
        <is>
          <t>Meaning</t>
        </is>
      </c>
      <c r="D15" s="66" t="inlineStr">
        <is>
          <t>Executive conclusion</t>
        </is>
      </c>
      <c r="E15" s="92" t="n"/>
      <c r="F15" s="92" t="n"/>
      <c r="G15" s="92" t="n"/>
      <c r="H15" s="93" t="n"/>
    </row>
    <row r="16" ht="32.40000152587891" customHeight="1">
      <c r="A16" s="67" t="inlineStr">
        <is>
          <t>Design Contract</t>
        </is>
      </c>
      <c r="B16" s="67" t="inlineStr">
        <is>
          <t>Repository authority, schema or invariant defines intended behavior.</t>
        </is>
      </c>
      <c r="D16" s="67" t="inlineStr">
        <is>
          <t>Evaluate, canonical empty authority and Workbench reload are operational. Recommendation forensics and the reconciled handoff are deployed. Held Recovery reconstruction → Readmission → decision persistence remains the primary unclosed production proof.</t>
        </is>
      </c>
      <c r="E16" s="94" t="n"/>
      <c r="F16" s="94" t="n"/>
      <c r="G16" s="94" t="n"/>
      <c r="H16" s="95" t="n"/>
    </row>
    <row r="17" ht="32.40000152587891" customHeight="1">
      <c r="A17" s="67" t="inlineStr">
        <is>
          <t>Static Verification</t>
        </is>
      </c>
      <c r="B17" s="67" t="inlineStr">
        <is>
          <t>Local characterization, contract, type and lint evidence.</t>
        </is>
      </c>
      <c r="D17" s="96" t="n"/>
      <c r="H17" s="97" t="n"/>
    </row>
    <row r="18" ht="32.40000152587891" customHeight="1">
      <c r="A18" s="67" t="inlineStr">
        <is>
          <t>CI Verification</t>
        </is>
      </c>
      <c r="B18" s="67" t="inlineStr">
        <is>
          <t>Exact-head automated workflows and governance gates.</t>
        </is>
      </c>
      <c r="D18" s="96" t="n"/>
      <c r="H18" s="97" t="n"/>
    </row>
    <row r="19" ht="21.60000038146973" customHeight="1">
      <c r="A19" s="67" t="inlineStr">
        <is>
          <t>Production Deployment</t>
        </is>
      </c>
      <c r="B19" s="67" t="inlineStr">
        <is>
          <t>Exact merged code is active in production.</t>
        </is>
      </c>
      <c r="D19" s="96" t="n"/>
      <c r="H19" s="97" t="n"/>
    </row>
    <row r="20" ht="43.20000076293945" customHeight="1">
      <c r="A20" s="67" t="inlineStr">
        <is>
          <t>Live Production Proof</t>
        </is>
      </c>
      <c r="B20" s="67" t="inlineStr">
        <is>
          <t>Behavior and durable authority observed in a controlled production execution.</t>
        </is>
      </c>
      <c r="D20" s="98" t="n"/>
      <c r="E20" s="99" t="n"/>
      <c r="F20" s="99" t="n"/>
      <c r="G20" s="99" t="n"/>
      <c r="H20" s="100" t="n"/>
    </row>
  </sheetData>
  <mergeCells count="4">
    <mergeCell ref="D16:H20"/>
    <mergeCell ref="A2:H2"/>
    <mergeCell ref="D15:H15"/>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1"/>
  <sheetViews>
    <sheetView showGridLines="0" workbookViewId="0">
      <selection activeCell="A1" sqref="A1"/>
    </sheetView>
  </sheetViews>
  <sheetFormatPr baseColWidth="8" defaultRowHeight="13.80000019073486"/>
  <cols>
    <col width="10" customWidth="1" min="1" max="1"/>
    <col width="42" customWidth="1" min="2" max="2"/>
    <col width="36" customWidth="1" min="3" max="3"/>
    <col width="25" customWidth="1" min="4" max="4"/>
    <col width="18" customWidth="1" min="5" max="5"/>
    <col width="22" customWidth="1" min="6" max="6"/>
    <col width="43" customWidth="1" min="7" max="7"/>
    <col width="23" customWidth="1" min="8" max="8"/>
  </cols>
  <sheetData>
    <row r="1" ht="28" customHeight="1">
      <c r="A1" s="64" t="inlineStr">
        <is>
          <t>Evaluate → Revise Corrective-Action Timeline</t>
        </is>
      </c>
    </row>
    <row r="2" ht="28" customHeight="1">
      <c r="A2" s="65" t="inlineStr">
        <is>
          <t>Chronology distinguishes observations, confirmed causes, code publication, deployment and live validation. Absence of live proof is recorded explicitly.</t>
        </is>
      </c>
    </row>
    <row r="4" ht="15" customHeight="1">
      <c r="A4" s="66" t="inlineStr">
        <is>
          <t>Sequence</t>
        </is>
      </c>
      <c r="B4" s="66" t="inlineStr">
        <is>
          <t>Observed problem / state</t>
        </is>
      </c>
      <c r="C4" s="66" t="inlineStr">
        <is>
          <t>Root-cause status</t>
        </is>
      </c>
      <c r="D4" s="66" t="inlineStr">
        <is>
          <t>Corrective PR / authority</t>
        </is>
      </c>
      <c r="E4" s="66" t="inlineStr">
        <is>
          <t>Merge</t>
        </is>
      </c>
      <c r="F4" s="66" t="inlineStr">
        <is>
          <t>Deployment</t>
        </is>
      </c>
      <c r="G4" s="66" t="inlineStr">
        <is>
          <t>Live validation</t>
        </is>
      </c>
      <c r="H4" s="66" t="inlineStr">
        <is>
          <t>Evidence posture</t>
        </is>
      </c>
    </row>
    <row r="5" ht="21.60000038146973" customHeight="1">
      <c r="A5" s="67" t="n">
        <v>1</v>
      </c>
      <c r="B5" s="67" t="inlineStr">
        <is>
          <t>Certified empty canonical authority returned Workbench 500.</t>
        </is>
      </c>
      <c r="C5" s="67" t="inlineStr">
        <is>
          <t>CONFIRMED semantic ambiguity: empty vs missing authority.</t>
        </is>
      </c>
      <c r="D5" s="67" t="inlineStr">
        <is>
          <t>PR #1348</t>
        </is>
      </c>
      <c r="E5" s="67" t="inlineStr">
        <is>
          <t>b14d54b</t>
        </is>
      </c>
      <c r="F5" s="67" t="inlineStr">
        <is>
          <t>DEPLOYED</t>
        </is>
      </c>
      <c r="G5" s="67" t="inlineStr">
        <is>
          <t>PASS: empty Workbench, one durable ledger, stable reload.</t>
        </is>
      </c>
      <c r="H5" s="52" t="inlineStr">
        <is>
          <t>Live Production Proof</t>
        </is>
      </c>
    </row>
    <row r="6" ht="21.60000038146973" customHeight="1">
      <c r="A6" s="67" t="n">
        <v>2</v>
      </c>
      <c r="B6" s="67" t="inlineStr">
        <is>
          <t>Initial Held Recovery authority creation and controlled targeting were undefined.</t>
        </is>
      </c>
      <c r="C6" s="67" t="inlineStr">
        <is>
          <t>CONFIRMED authority gap.</t>
        </is>
      </c>
      <c r="D6" s="67" t="inlineStr">
        <is>
          <t>PR #1349</t>
        </is>
      </c>
      <c r="E6" s="67" t="inlineStr">
        <is>
          <t>9ed56a7</t>
        </is>
      </c>
      <c r="F6" s="67" t="inlineStr">
        <is>
          <t>DEPLOYED</t>
        </is>
      </c>
      <c r="G6" s="67" t="inlineStr">
        <is>
          <t>PARTIAL: components deployed; full causal chain not triggered.</t>
        </is>
      </c>
      <c r="H6" s="53" t="inlineStr">
        <is>
          <t>Production Deployment</t>
        </is>
      </c>
    </row>
    <row r="7" ht="15" customHeight="1">
      <c r="A7" s="67" t="n">
        <v>3</v>
      </c>
      <c r="B7" s="67" t="inlineStr">
        <is>
          <t>Held proof job could be claimed by normal watchdog authority.</t>
        </is>
      </c>
      <c r="C7" s="67" t="inlineStr">
        <is>
          <t>CONFIRMED mutation-boundary race.</t>
        </is>
      </c>
      <c r="D7" s="67" t="inlineStr">
        <is>
          <t>PR #1351</t>
        </is>
      </c>
      <c r="E7" s="67" t="inlineStr">
        <is>
          <t>fca260e</t>
        </is>
      </c>
      <c r="F7" s="67" t="inlineStr">
        <is>
          <t>DEPLOYED</t>
        </is>
      </c>
      <c r="G7" s="67" t="inlineStr">
        <is>
          <t>PASS: replacement held job survived watchdog cycles untouched.</t>
        </is>
      </c>
      <c r="H7" s="52" t="inlineStr">
        <is>
          <t>Live Production Proof</t>
        </is>
      </c>
    </row>
    <row r="8" ht="21.60000038146973" customHeight="1">
      <c r="A8" s="67" t="n">
        <v>4</v>
      </c>
      <c r="B8" s="67" t="inlineStr">
        <is>
          <t>Recommendations could disappear without one governed disposition; Held UI exposed raw codes.</t>
        </is>
      </c>
      <c r="C8" s="67" t="inlineStr">
        <is>
          <t>CONFIRMED lineage and presentation-governance gaps.</t>
        </is>
      </c>
      <c r="D8" s="67" t="inlineStr">
        <is>
          <t>PR #1354</t>
        </is>
      </c>
      <c r="E8" s="67" t="inlineStr">
        <is>
          <t>bca7b09</t>
        </is>
      </c>
      <c r="F8" s="67" t="inlineStr">
        <is>
          <t>DEPLOYED</t>
        </is>
      </c>
      <c r="G8" s="67" t="inlineStr">
        <is>
          <t>PARTIAL: empty Workbench and safe mapper verified; genuine recovery open.</t>
        </is>
      </c>
      <c r="H8" s="53" t="inlineStr">
        <is>
          <t>CI + Live Proof</t>
        </is>
      </c>
    </row>
    <row r="9" ht="15" customHeight="1">
      <c r="A9" s="67" t="n">
        <v>5</v>
      </c>
      <c r="B9" s="67" t="inlineStr">
        <is>
          <t>SIPOC/FIPOC mirrors and executable registries could drift.</t>
        </is>
      </c>
      <c r="C9" s="67" t="inlineStr">
        <is>
          <t>CONFIRMED governance parity gap.</t>
        </is>
      </c>
      <c r="D9" s="67" t="inlineStr">
        <is>
          <t>PR #1355</t>
        </is>
      </c>
      <c r="E9" s="67" t="inlineStr">
        <is>
          <t>4eccf05</t>
        </is>
      </c>
      <c r="F9" s="67" t="inlineStr">
        <is>
          <t>DEPLOYED</t>
        </is>
      </c>
      <c r="G9" s="67" t="inlineStr">
        <is>
          <t>CI parity proven; workbook remains derived.</t>
        </is>
      </c>
      <c r="H9" s="53" t="inlineStr">
        <is>
          <t>CI Verification</t>
        </is>
      </c>
    </row>
    <row r="10" ht="21.60000038146973" customHeight="1">
      <c r="A10" s="67" t="n">
        <v>6</v>
      </c>
      <c r="B10" s="67" t="inlineStr">
        <is>
          <t>Suppression outcomes were not independently measurable.</t>
        </is>
      </c>
      <c r="C10" s="67" t="inlineStr">
        <is>
          <t>CONFIRMED observability gap; no admission defect asserted.</t>
        </is>
      </c>
      <c r="D10" s="67" t="inlineStr">
        <is>
          <t>PR #1356</t>
        </is>
      </c>
      <c r="E10" s="67" t="inlineStr">
        <is>
          <t>9efadc4</t>
        </is>
      </c>
      <c r="F10" s="67" t="inlineStr">
        <is>
          <t>DEPLOYED via 7e3b1eb</t>
        </is>
      </c>
      <c r="G10" s="67" t="inlineStr">
        <is>
          <t>NOT YET INSPECTED on a fresh production evaluation.</t>
        </is>
      </c>
      <c r="H10" s="53" t="inlineStr">
        <is>
          <t>Production Deployment</t>
        </is>
      </c>
    </row>
    <row r="11" ht="21.60000038146973" customHeight="1">
      <c r="A11" s="67" t="n">
        <v>7</v>
      </c>
      <c r="B11" s="67" t="inlineStr">
        <is>
          <t>Pass 1/2 artifact health required fields neither produced nor consumed.</t>
        </is>
      </c>
      <c r="C11" s="67" t="inlineStr">
        <is>
          <t>CONFIRMED producer–consumer contract mismatch.</t>
        </is>
      </c>
      <c r="D11" s="67" t="inlineStr">
        <is>
          <t>PR #1357</t>
        </is>
      </c>
      <c r="E11" s="67" t="inlineStr">
        <is>
          <t>7e3b1eb</t>
        </is>
      </c>
      <c r="F11" s="67" t="inlineStr">
        <is>
          <t>LIVE — health 200</t>
        </is>
      </c>
      <c r="G11" s="67" t="inlineStr">
        <is>
          <t>Historical handoff passed; current contract characterized; fresh proof pending.</t>
        </is>
      </c>
      <c r="H11" s="53" t="inlineStr">
        <is>
          <t>Deployment + Static</t>
        </is>
      </c>
    </row>
  </sheetData>
  <mergeCells count="2">
    <mergeCell ref="A2:H2"/>
    <mergeCell ref="A1:H1"/>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I12"/>
  <sheetViews>
    <sheetView showGridLines="0" workbookViewId="0">
      <selection activeCell="A1" sqref="A1"/>
    </sheetView>
  </sheetViews>
  <sheetFormatPr baseColWidth="8" defaultRowHeight="13.80000019073486"/>
  <cols>
    <col width="10" customWidth="1" min="1" max="1"/>
    <col width="35" customWidth="1" min="2" max="2"/>
    <col width="24" customWidth="1" min="3" max="3"/>
    <col width="37" customWidth="1" min="4" max="4"/>
    <col width="43" customWidth="1" min="5" max="5"/>
    <col width="25" customWidth="1" min="6" max="6"/>
    <col width="32" customWidth="1" min="7" max="7"/>
    <col width="42" customWidth="1" min="8" max="8"/>
    <col width="18" customWidth="1" min="9" max="9"/>
  </cols>
  <sheetData>
    <row r="1" ht="28" customHeight="1">
      <c r="A1" s="64" t="inlineStr">
        <is>
          <t>Open Proof Gaps &amp; Remaining Unknowns</t>
        </is>
      </c>
    </row>
    <row r="2" ht="28" customHeight="1">
      <c r="A2" s="65" t="inlineStr">
        <is>
          <t>Backlog of capabilities and hypotheses not yet supported by complete live evidence. “Unknown” is not a defect until characterization establishes a violated contract.</t>
        </is>
      </c>
    </row>
    <row r="4" ht="15" customHeight="1">
      <c r="A4" s="66" t="inlineStr">
        <is>
          <t>ID</t>
        </is>
      </c>
      <c r="B4" s="66" t="inlineStr">
        <is>
          <t>Capability / question</t>
        </is>
      </c>
      <c r="C4" s="66" t="inlineStr">
        <is>
          <t>Classification</t>
        </is>
      </c>
      <c r="D4" s="66" t="inlineStr">
        <is>
          <t>Current evidence</t>
        </is>
      </c>
      <c r="E4" s="66" t="inlineStr">
        <is>
          <t>Missing evidence</t>
        </is>
      </c>
      <c r="F4" s="66" t="inlineStr">
        <is>
          <t>Owner boundary</t>
        </is>
      </c>
      <c r="G4" s="66" t="inlineStr">
        <is>
          <t>Verification method</t>
        </is>
      </c>
      <c r="H4" s="66" t="inlineStr">
        <is>
          <t>Exit criterion</t>
        </is>
      </c>
      <c r="I4" s="66" t="inlineStr">
        <is>
          <t>Status</t>
        </is>
      </c>
    </row>
    <row r="5" ht="21.60000038146973" customHeight="1">
      <c r="A5" s="67" t="inlineStr">
        <is>
          <t>PG-01</t>
        </is>
      </c>
      <c r="B5" s="67" t="inlineStr">
        <is>
          <t>Held Recovery full causal chain</t>
        </is>
      </c>
      <c r="C5" s="67" t="inlineStr">
        <is>
          <t>Unproven capability</t>
        </is>
      </c>
      <c r="D5" s="67" t="inlineStr">
        <is>
          <t>Components and contracts deployed.</t>
        </is>
      </c>
      <c r="E5" s="67" t="inlineStr">
        <is>
          <t>One deterministic live trigger through durable Held identity, attempt, work item, reconstruction and Readmission.</t>
        </is>
      </c>
      <c r="F5" s="67" t="inlineStr">
        <is>
          <t>Held Recovery runtime</t>
        </is>
      </c>
      <c r="G5" s="67" t="inlineStr">
        <is>
          <t>Controlled production proof + SQL/log snapshots</t>
        </is>
      </c>
      <c r="H5" s="67" t="inlineStr">
        <is>
          <t>HR-000 through HR-015 pass; no open failure class.</t>
        </is>
      </c>
      <c r="I5" s="54" t="inlineStr">
        <is>
          <t>OPEN — P0</t>
        </is>
      </c>
    </row>
    <row r="6" ht="15" customHeight="1">
      <c r="A6" s="67" t="inlineStr">
        <is>
          <t>PG-02</t>
        </is>
      </c>
      <c r="B6" s="67" t="inlineStr">
        <is>
          <t>Canonical reconstructed-anchor verification</t>
        </is>
      </c>
      <c r="C6" s="67" t="inlineStr">
        <is>
          <t>Unproven capability</t>
        </is>
      </c>
      <c r="D6" s="67" t="inlineStr">
        <is>
          <t>Identity-only loader/readmission contracts pass.</t>
        </is>
      </c>
      <c r="E6" s="67" t="inlineStr">
        <is>
          <t>Persisted version/hash/fingerprint match observed live.</t>
        </is>
      </c>
      <c r="F6" s="67" t="inlineStr">
        <is>
          <t>Reconstruction authority</t>
        </is>
      </c>
      <c r="G6" s="67" t="inlineStr">
        <is>
          <t>Production persistence inspection</t>
        </is>
      </c>
      <c r="H6" s="67" t="inlineStr">
        <is>
          <t>Exactly one verified canonical anchor; mismatch fails closed.</t>
        </is>
      </c>
      <c r="I6" s="54" t="inlineStr">
        <is>
          <t>OPEN — P0</t>
        </is>
      </c>
    </row>
    <row r="7" ht="21.60000038146973" customHeight="1">
      <c r="A7" s="67" t="inlineStr">
        <is>
          <t>PG-03</t>
        </is>
      </c>
      <c r="B7" s="67" t="inlineStr">
        <is>
          <t>Readmission → hydrated Workbench card</t>
        </is>
      </c>
      <c r="C7" s="67" t="inlineStr">
        <is>
          <t>Unproven capability</t>
        </is>
      </c>
      <c r="D7" s="67" t="inlineStr">
        <is>
          <t>Runtime composition deployed.</t>
        </is>
      </c>
      <c r="E7" s="67" t="inlineStr">
        <is>
          <t>One live recovered opportunity with hydrated candidates and canonical card identity.</t>
        </is>
      </c>
      <c r="F7" s="67" t="inlineStr">
        <is>
          <t>Revision admission</t>
        </is>
      </c>
      <c r="G7" s="67" t="inlineStr">
        <is>
          <t>Production proof + Workbench inspection</t>
        </is>
      </c>
      <c r="H7" s="67" t="inlineStr">
        <is>
          <t>Exactly one card; candidates present before admission.</t>
        </is>
      </c>
      <c r="I7" s="54" t="inlineStr">
        <is>
          <t>OPEN — P0</t>
        </is>
      </c>
    </row>
    <row r="8" ht="15" customHeight="1">
      <c r="A8" s="67" t="inlineStr">
        <is>
          <t>PG-04</t>
        </is>
      </c>
      <c r="B8" s="67" t="inlineStr">
        <is>
          <t>Cross-job isolation during proof</t>
        </is>
      </c>
      <c r="C8" s="67" t="inlineStr">
        <is>
          <t>Open verification</t>
        </is>
      </c>
      <c r="D8" s="67" t="inlineStr">
        <is>
          <t>Exact-job marker and watchdog isolation contracts exist.</t>
        </is>
      </c>
      <c r="E8" s="67" t="inlineStr">
        <is>
          <t>Before/after comparison across unrelated jobs during full run.</t>
        </is>
      </c>
      <c r="F8" s="67" t="inlineStr">
        <is>
          <t>Queue authority</t>
        </is>
      </c>
      <c r="G8" s="67" t="inlineStr">
        <is>
          <t>Database comparison</t>
        </is>
      </c>
      <c r="H8" s="67" t="inlineStr">
        <is>
          <t>Unexpected unrelated mutations = 0.</t>
        </is>
      </c>
      <c r="I8" s="54" t="inlineStr">
        <is>
          <t>OPEN — P0</t>
        </is>
      </c>
    </row>
    <row r="9" ht="21.60000038146973" customHeight="1">
      <c r="A9" s="67" t="inlineStr">
        <is>
          <t>PG-05</t>
        </is>
      </c>
      <c r="B9" s="67" t="inlineStr">
        <is>
          <t>Remaining artifact producer–consumer contracts</t>
        </is>
      </c>
      <c r="C9" s="67" t="inlineStr">
        <is>
          <t>Confirmed workstream</t>
        </is>
      </c>
      <c r="D9" s="67" t="inlineStr">
        <is>
          <t>pass12_handoff_v1 reconciled.</t>
        </is>
      </c>
      <c r="E9" s="67" t="inlineStr">
        <is>
          <t>All remaining registry artifacts bound to producer, persisted schema, validator and actual consumer.</t>
        </is>
      </c>
      <c r="F9" s="67" t="inlineStr">
        <is>
          <t>Evaluation persistence</t>
        </is>
      </c>
      <c r="G9" s="67" t="inlineStr">
        <is>
          <t>Contract matrix + dirty fixtures</t>
        </is>
      </c>
      <c r="H9" s="67" t="inlineStr">
        <is>
          <t>No phantom fields; missing consumed fields kick back at owner.</t>
        </is>
      </c>
      <c r="I9" s="53" t="inlineStr">
        <is>
          <t>IN PROGRESS — P1</t>
        </is>
      </c>
    </row>
    <row r="10" ht="21.60000038146973" customHeight="1">
      <c r="A10" s="67" t="inlineStr">
        <is>
          <t>PG-06</t>
        </is>
      </c>
      <c r="B10" s="67" t="inlineStr">
        <is>
          <t>Why 82/100 yielded zero actionable cards</t>
        </is>
      </c>
      <c r="C10" s="67" t="inlineStr">
        <is>
          <t>Observed state / hypothesis</t>
        </is>
      </c>
      <c r="D10" s="67" t="inlineStr">
        <is>
          <t>Historical job: 0/13 criterion recommendations and governed empty ledger.</t>
        </is>
      </c>
      <c r="E10" s="67" t="inlineStr">
        <is>
          <t>Fresh disposition and suppression counters across all criteria.</t>
        </is>
      </c>
      <c r="F10" s="67" t="inlineStr">
        <is>
          <t>Editorial governance</t>
        </is>
      </c>
      <c r="G10" s="67" t="inlineStr">
        <is>
          <t>Production forensic trace</t>
        </is>
      </c>
      <c r="H10" s="67" t="inlineStr">
        <is>
          <t>Every source has a supported disposition; any loss or over-suppression classified.</t>
        </is>
      </c>
      <c r="I10" s="53" t="inlineStr">
        <is>
          <t>OPEN — P1</t>
        </is>
      </c>
    </row>
    <row r="11" ht="15" customHeight="1">
      <c r="A11" s="67" t="inlineStr">
        <is>
          <t>PG-07</t>
        </is>
      </c>
      <c r="B11" s="67" t="inlineStr">
        <is>
          <t>Decision persistence after Readmission</t>
        </is>
      </c>
      <c r="C11" s="67" t="inlineStr">
        <is>
          <t>Unproven capability</t>
        </is>
      </c>
      <c r="D11" s="67" t="inlineStr">
        <is>
          <t>Empty-state reload is proven.</t>
        </is>
      </c>
      <c r="E11" s="67" t="inlineStr">
        <is>
          <t>Accept/reject a recovered card; reload and replay.</t>
        </is>
      </c>
      <c r="F11" s="67" t="inlineStr">
        <is>
          <t>Workbench persistence</t>
        </is>
      </c>
      <c r="G11" s="67" t="inlineStr">
        <is>
          <t>UI + database proof</t>
        </is>
      </c>
      <c r="H11" s="67" t="inlineStr">
        <is>
          <t>One durable terminal decision; identical reload; duplicates = 0.</t>
        </is>
      </c>
      <c r="I11" s="53" t="inlineStr">
        <is>
          <t>OPEN — P0</t>
        </is>
      </c>
    </row>
    <row r="12" ht="21.60000038146973" customHeight="1">
      <c r="A12" s="67" t="inlineStr">
        <is>
          <t>PG-08</t>
        </is>
      </c>
      <c r="B12" s="67" t="inlineStr">
        <is>
          <t>Dirty-input kickbacks at each process boundary</t>
        </is>
      </c>
      <c r="C12" s="67" t="inlineStr">
        <is>
          <t>Open verification</t>
        </is>
      </c>
      <c r="D12" s="67" t="inlineStr">
        <is>
          <t>Selected contract tests exist.</t>
        </is>
      </c>
      <c r="E12" s="67" t="inlineStr">
        <is>
          <t>Synthetic contamination matrix for producer, validator, persistence and consumer boundaries.</t>
        </is>
      </c>
      <c r="F12" s="67" t="inlineStr">
        <is>
          <t>Each owning SIPOC/FIPOC step</t>
        </is>
      </c>
      <c r="G12" s="67" t="inlineStr">
        <is>
          <t>Characterization + integration tests</t>
        </is>
      </c>
      <c r="H12" s="67" t="inlineStr">
        <is>
          <t>Dirty data rejected by owner; no downstream author exposure.</t>
        </is>
      </c>
      <c r="I12" s="53" t="inlineStr">
        <is>
          <t>OPEN — P1</t>
        </is>
      </c>
    </row>
  </sheetData>
  <mergeCells count="2">
    <mergeCell ref="A1:I1"/>
    <mergeCell ref="A2:I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22" customWidth="1" min="1" max="1"/>
    <col width="30" customWidth="1" min="2" max="2"/>
    <col width="32" customWidth="1" min="3" max="3"/>
    <col width="34" customWidth="1" min="4" max="4"/>
    <col width="20" customWidth="1" min="5" max="5"/>
    <col width="30" customWidth="1" min="6" max="6"/>
    <col width="28" customWidth="1" min="7" max="7"/>
    <col width="30" customWidth="1" min="8" max="8"/>
  </cols>
  <sheetData>
    <row r="1" ht="28" customHeight="1">
      <c r="A1" s="73" t="inlineStr">
        <is>
          <t>Pass 2 → Pass 3 Recommendation Lineage — Correction Evidence</t>
        </is>
      </c>
    </row>
    <row r="2" ht="38" customHeight="1">
      <c r="A2" s="76" t="inlineStr">
        <is>
          <t>Derived evidence mirror. Repository registries and the corrective-action register remain authoritative. Current local verification is not deployment or live proof.</t>
        </is>
      </c>
    </row>
    <row r="3" ht="30" customHeight="1"/>
    <row r="4" ht="30" customHeight="1">
      <c r="A4" s="82" t="inlineStr">
        <is>
          <t>Evidence class</t>
        </is>
      </c>
      <c r="B4" s="82" t="inlineStr">
        <is>
          <t>Observed source</t>
        </is>
      </c>
      <c r="C4" s="82" t="inlineStr">
        <is>
          <t>Root cause</t>
        </is>
      </c>
      <c r="D4" s="82" t="inlineStr">
        <is>
          <t>Corrective action</t>
        </is>
      </c>
      <c r="E4" s="82" t="inlineStr">
        <is>
          <t>Process owner</t>
        </is>
      </c>
      <c r="F4" s="82" t="inlineStr">
        <is>
          <t>Kickback</t>
        </is>
      </c>
      <c r="G4" s="82" t="inlineStr">
        <is>
          <t>Release status</t>
        </is>
      </c>
      <c r="H4" s="82" t="inlineStr">
        <is>
          <t>Live proof status</t>
        </is>
      </c>
    </row>
    <row r="5" ht="80" customHeight="1">
      <c r="A5" s="83" t="inlineStr">
        <is>
          <t>Observed production + CI/static contract</t>
        </is>
      </c>
      <c r="B5" s="83" t="inlineStr">
        <is>
          <t>Diamonds Aren't Forever 7c3f47a6-bfc2-4025-a7fc-d1ce0456a609: 15 Pass 2 discoveries, 0 final criterion recommendations, empty canonical ledger</t>
        </is>
      </c>
      <c r="C5" s="83" t="inlineStr">
        <is>
          <t>Comparison packet/synthesis carried scores and rationale but not durable Pass 2 recommendation identity or outcome accounting</t>
        </is>
      </c>
      <c r="D5" s="83" t="inlineStr">
        <is>
          <t>Stable IDs, exact materialized/consolidated/suppressed reconciliation, bounded S07 retry, persisted non-author-facing lineage</t>
        </is>
      </c>
      <c r="E5" s="83" t="inlineStr">
        <is>
          <t>S07_PASS3</t>
        </is>
      </c>
      <c r="F5" s="83" t="inlineStr">
        <is>
          <t>CRITERION_OPPORTUNITY_COVERAGE_INVALID → one registered Pass 3 retry; exhausted or mixed defect blocks persistence and Revise</t>
        </is>
      </c>
      <c r="G5" s="83" t="inlineStr">
        <is>
          <t>Local commit b8283c13 verified; publication/deployment pending</t>
        </is>
      </c>
      <c r="H5" s="83" t="inlineStr">
        <is>
          <t>Not yet rerun in production; do not claim Workbench recovery</t>
        </is>
      </c>
    </row>
    <row r="6" ht="30" customHeight="1"/>
    <row r="7" ht="30" customHeight="1">
      <c r="A7" s="82" t="inlineStr">
        <is>
          <t>Deterministic acceptance metric</t>
        </is>
      </c>
      <c r="B7" s="82" t="inlineStr">
        <is>
          <t>Observed prior</t>
        </is>
      </c>
      <c r="C7" s="82" t="inlineStr">
        <is>
          <t>Required result</t>
        </is>
      </c>
      <c r="D7" s="82" t="inlineStr">
        <is>
          <t>Current evidence</t>
        </is>
      </c>
      <c r="E7" s="82" t="inlineStr">
        <is>
          <t>Acceptance</t>
        </is>
      </c>
      <c r="F7" s="82" t="inlineStr">
        <is>
          <t>Dirty-input response</t>
        </is>
      </c>
      <c r="G7" s="82" t="inlineStr">
        <is>
          <t>Downstream protection</t>
        </is>
      </c>
      <c r="H7" s="82" t="inlineStr">
        <is>
          <t>Notes</t>
        </is>
      </c>
    </row>
    <row r="8" ht="52" customHeight="1">
      <c r="A8" s="84" t="inlineStr">
        <is>
          <t>Pass 2 source identity coverage</t>
        </is>
      </c>
      <c r="B8" s="84" t="n">
        <v>15</v>
      </c>
      <c r="C8" s="84" t="inlineStr">
        <is>
          <t>15/15 sources have exactly one outcome</t>
        </is>
      </c>
      <c r="D8" s="84" t="inlineStr">
        <is>
          <t>Unit/contract tests + current writer guard</t>
        </is>
      </c>
      <c r="E8" s="84" t="inlineStr">
        <is>
          <t>Binary: 100% only</t>
        </is>
      </c>
      <c r="F8" s="84" t="inlineStr">
        <is>
          <t>Missing/unknown/duplicate outcome → S07 kickback</t>
        </is>
      </c>
      <c r="G8" s="84" t="inlineStr">
        <is>
          <t>No persistence / no Revise after exhaustion</t>
        </is>
      </c>
      <c r="H8" s="84" t="inlineStr">
        <is>
          <t>Several sources may consolidate into one surviving card; this is not a card quota</t>
        </is>
      </c>
    </row>
    <row r="9" ht="52" customHeight="1">
      <c r="A9" s="84" t="inlineStr">
        <is>
          <t>Materialization target integrity</t>
        </is>
      </c>
      <c r="B9" s="84" t="n">
        <v>0</v>
      </c>
      <c r="C9" s="84" t="inlineStr">
        <is>
          <t>Every materialized/consolidated outcome names a surviving source</t>
        </is>
      </c>
      <c r="D9" s="84" t="inlineStr">
        <is>
          <t>Parser validates after synthesis filters</t>
        </is>
      </c>
      <c r="E9" s="84" t="inlineStr">
        <is>
          <t>Binary: 0 unresolved targets</t>
        </is>
      </c>
      <c r="F9" s="84" t="inlineStr">
        <is>
          <t>Unresolved target → S07 kickback</t>
        </is>
      </c>
      <c r="G9" s="84" t="inlineStr">
        <is>
          <t>No certified artifact</t>
        </is>
      </c>
      <c r="H9" s="84" t="inlineStr">
        <is>
          <t>Prevents a declared outcome from pointing to removed prose</t>
        </is>
      </c>
    </row>
    <row r="10" ht="52" customHeight="1">
      <c r="A10" s="84" t="inlineStr">
        <is>
          <t>Regression certification</t>
        </is>
      </c>
      <c r="B10" s="84" t="n"/>
      <c r="C10" s="84" t="inlineStr">
        <is>
          <t>603 suites / 6,961 tests green on exact local head</t>
        </is>
      </c>
      <c r="D10" s="84" t="inlineStr">
        <is>
          <t>Full Jest + TypeScript + scoped ESLint + critical guard + FIPOC export</t>
        </is>
      </c>
      <c r="E10" s="84" t="inlineStr">
        <is>
          <t>Pass</t>
        </is>
      </c>
      <c r="F10" s="84" t="inlineStr">
        <is>
          <t>N/A</t>
        </is>
      </c>
      <c r="G10" s="84" t="inlineStr">
        <is>
          <t>N/A</t>
        </is>
      </c>
      <c r="H10" s="84" t="inlineStr">
        <is>
          <t>GitHub publication is blocked by workspace network, not a source failure</t>
        </is>
      </c>
    </row>
    <row r="11" ht="30" customHeight="1"/>
    <row r="12" ht="30" customHeight="1">
      <c r="A12" s="72" t="inlineStr">
        <is>
          <t>Causal boundary and remaining proof</t>
        </is>
      </c>
    </row>
    <row r="13" ht="30" customHeight="1">
      <c r="A13" s="82" t="inlineStr">
        <is>
          <t>Boundary</t>
        </is>
      </c>
      <c r="B13" s="82" t="inlineStr">
        <is>
          <t>Pass 2 discovery</t>
        </is>
      </c>
      <c r="C13" s="82" t="inlineStr">
        <is>
          <t>Pass 3 accounting</t>
        </is>
      </c>
      <c r="D13" s="82" t="inlineStr">
        <is>
          <t>Canonical persistence</t>
        </is>
      </c>
      <c r="E13" s="82" t="inlineStr">
        <is>
          <t>Revise projection</t>
        </is>
      </c>
      <c r="F13" s="82" t="inlineStr">
        <is>
          <t>Workbench</t>
        </is>
      </c>
      <c r="G13" s="82" t="inlineStr">
        <is>
          <t>Decision/reload</t>
        </is>
      </c>
      <c r="H13" s="82" t="inlineStr">
        <is>
          <t>Evidence state</t>
        </is>
      </c>
    </row>
    <row r="14" ht="46" customHeight="1">
      <c r="A14" s="84" t="inlineStr">
        <is>
          <t>Required flow</t>
        </is>
      </c>
      <c r="B14" s="84" t="inlineStr">
        <is>
          <t>Stable candidate ID</t>
        </is>
      </c>
      <c r="C14" s="84" t="inlineStr">
        <is>
          <t>Materialize / consolidate / governed suppress</t>
        </is>
      </c>
      <c r="D14" s="84" t="inlineStr">
        <is>
          <t>Persist transparency</t>
        </is>
      </c>
      <c r="E14" s="84" t="inlineStr">
        <is>
          <t>Ledger reconciles authority</t>
        </is>
      </c>
      <c r="F14" s="84" t="inlineStr">
        <is>
          <t>Hydrated card where admitted</t>
        </is>
      </c>
      <c r="G14" s="84" t="inlineStr">
        <is>
          <t>Persisted decision and stable reload</t>
        </is>
      </c>
      <c r="H14" s="84" t="inlineStr">
        <is>
          <t>Current correction covers first four; live proof remains open</t>
        </is>
      </c>
    </row>
    <row r="15" ht="46" customHeight="1">
      <c r="A15" s="84" t="inlineStr">
        <is>
          <t>No-policy-change guard</t>
        </is>
      </c>
      <c r="B15" s="84" t="inlineStr">
        <is>
          <t>No score threshold</t>
        </is>
      </c>
      <c r="C15" s="84" t="inlineStr">
        <is>
          <t>No cap/quota</t>
        </is>
      </c>
      <c r="D15" s="84" t="inlineStr">
        <is>
          <t>No confidence admission</t>
        </is>
      </c>
      <c r="E15" s="84" t="inlineStr">
        <is>
          <t>No synthetic Held</t>
        </is>
      </c>
      <c r="F15" s="84" t="inlineStr">
        <is>
          <t>No report summary producer</t>
        </is>
      </c>
      <c r="G15" s="84" t="inlineStr">
        <is>
          <t>No legacy fallback</t>
        </is>
      </c>
      <c r="H15" s="84" t="inlineStr">
        <is>
          <t>Enforced by scope and contract tests</t>
        </is>
      </c>
    </row>
    <row r="16" ht="46" customHeight="1">
      <c r="A16" s="84" t="inlineStr">
        <is>
          <t>Repository authority</t>
        </is>
      </c>
      <c r="B16" s="84" t="inlineStr">
        <is>
          <t>opportunityDiscoveryPolicy.ts</t>
        </is>
      </c>
      <c r="C16" s="84" t="inlineStr">
        <is>
          <t>runPass3Synthesis.ts</t>
        </is>
      </c>
      <c r="D16" s="84" t="inlineStr">
        <is>
          <t>evaluation-result-v2.ts</t>
        </is>
      </c>
      <c r="E16" s="84" t="inlineStr">
        <is>
          <t>canonicalOpportunityLedger.ts</t>
        </is>
      </c>
      <c r="F16" s="84" t="inlineStr">
        <is>
          <t>revisionSurfaceOwnershipGate.ts</t>
        </is>
      </c>
      <c r="G16" s="84" t="inlineStr">
        <is>
          <t>Revise registries</t>
        </is>
      </c>
      <c r="H16" s="84" t="inlineStr">
        <is>
          <t>FIPOC/SIPOC and corrective register</t>
        </is>
      </c>
    </row>
    <row r="17" ht="46" customHeight="1">
      <c r="A17" s="84" t="inlineStr">
        <is>
          <t>Next controlled operation</t>
        </is>
      </c>
      <c r="B17" s="84" t="inlineStr">
        <is>
          <t>Publish/deploy b8283c13</t>
        </is>
      </c>
      <c r="C17" s="84" t="inlineStr">
        <is>
          <t>Run one new Diamonds evaluation</t>
        </is>
      </c>
      <c r="D17" s="84" t="inlineStr">
        <is>
          <t>Compare source/outcome/ledger counts</t>
        </is>
      </c>
      <c r="E17" s="84" t="inlineStr">
        <is>
          <t>Open Workbench</t>
        </is>
      </c>
      <c r="F17" s="84" t="inlineStr">
        <is>
          <t>Verify cards or governed suppression</t>
        </is>
      </c>
      <c r="G17" s="84" t="inlineStr">
        <is>
          <t>Capture reload/isolation evidence</t>
        </is>
      </c>
      <c r="H17" s="84" t="inlineStr">
        <is>
          <t>Close only with live proof</t>
        </is>
      </c>
    </row>
    <row r="19">
      <c r="A19" t="inlineStr">
        <is>
          <t>Observed production failure</t>
        </is>
      </c>
      <c r="B19" t="inlineStr">
        <is>
          <t>Diamonds Aren't Forever 25d4192b-f1c4-4356-bddc-2cef98120ef7</t>
        </is>
      </c>
      <c r="C19" t="inlineStr">
        <is>
          <t>Pass 3B synthesis emitted criteria[] but no recommendation_lineage or source_recommendation_ids; pass2_recommendation_lineage_complete invariant closed</t>
        </is>
      </c>
      <c r="D19" t="inlineStr">
        <is>
          <t>Add lineage fields to DREAM output schema and Pass 3B prompt; re-run from phase_3 checkpoint</t>
        </is>
      </c>
      <c r="E19" t="inlineStr">
        <is>
          <t>S07_PASS3 / Pass 3B prompt</t>
        </is>
      </c>
      <c r="F19" t="inlineStr">
        <is>
          <t>CRITERION_OPPORTUNITY_COVERAGE_INVALID after one backward kick (kick_attempts=1)</t>
        </is>
      </c>
      <c r="G19" t="inlineStr">
        <is>
          <t>Local reproduction on 2bf878b; fix in progress, deployment pending</t>
        </is>
      </c>
      <c r="H19" t="inlineStr">
        <is>
          <t>Live proof failed; cannot claim Workbench until fix is deployed and job is resumed</t>
        </is>
      </c>
    </row>
  </sheetData>
  <mergeCells count="3">
    <mergeCell ref="A12:H12"/>
    <mergeCell ref="A2:H2"/>
    <mergeCell ref="A1:H1"/>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sheetData>
    <row r="1">
      <c r="A1" t="inlineStr">
        <is>
          <t>Phase</t>
        </is>
      </c>
      <c r="B1" t="inlineStr">
        <is>
          <t>Pass</t>
        </is>
      </c>
      <c r="C1" t="inlineStr">
        <is>
          <t>Started (UTC)</t>
        </is>
      </c>
      <c r="D1" t="inlineStr">
        <is>
          <t>Completed (UTC)</t>
        </is>
      </c>
      <c r="E1" t="inlineStr">
        <is>
          <t>Status</t>
        </is>
      </c>
      <c r="F1" t="inlineStr">
        <is>
          <t>Artifact / Verdict</t>
        </is>
      </c>
    </row>
    <row r="2">
      <c r="A2" t="inlineStr">
        <is>
          <t>Phase 0</t>
        </is>
      </c>
      <c r="B2" t="inlineStr">
        <is>
          <t>Intake / calibration</t>
        </is>
      </c>
      <c r="C2" t="inlineStr">
        <is>
          <t>16:27:06</t>
        </is>
      </c>
      <c r="D2" t="inlineStr">
        <is>
          <t>16:27:25</t>
        </is>
      </c>
      <c r="E2" t="inlineStr">
        <is>
          <t>complete</t>
        </is>
      </c>
      <c r="F2" t="inlineStr">
        <is>
          <t>story_map_seed_v1, evaluation_seed_v1, seed_fit_gap_report_v1</t>
        </is>
      </c>
    </row>
    <row r="3">
      <c r="A3" t="inlineStr">
        <is>
          <t>Phase 0.5a</t>
        </is>
      </c>
      <c r="B3" t="inlineStr">
        <is>
          <t>Full-context story ledger</t>
        </is>
      </c>
      <c r="C3" t="inlineStr">
        <is>
          <t>16:27:27</t>
        </is>
      </c>
      <c r="D3" t="inlineStr">
        <is>
          <t>16:30:12</t>
        </is>
      </c>
      <c r="E3" t="inlineStr">
        <is>
          <t>complete</t>
        </is>
      </c>
      <c r="F3" t="inlineStr">
        <is>
          <t>full_context_story_ledger_v1</t>
        </is>
      </c>
    </row>
    <row r="4">
      <c r="A4" t="inlineStr">
        <is>
          <t>Phase 1A</t>
        </is>
      </c>
      <c r="B4" t="inlineStr">
        <is>
          <t>Story layer reading</t>
        </is>
      </c>
      <c r="C4" t="inlineStr">
        <is>
          <t>16:32:39</t>
        </is>
      </c>
      <c r="D4" t="inlineStr">
        <is>
          <t>16:36:27</t>
        </is>
      </c>
      <c r="E4" t="inlineStr">
        <is>
          <t>complete</t>
        </is>
      </c>
      <c r="F4" t="inlineStr">
        <is>
          <t>pass1a_chunk_cache_v1, pass1a_character_ledger_v1, pass1a_story_layer_v1, ledger_quality_report_v1, accepted_story_ledger_v1</t>
        </is>
      </c>
    </row>
    <row r="5">
      <c r="A5" t="inlineStr">
        <is>
          <t>Phase 2</t>
        </is>
      </c>
      <c r="B5" t="inlineStr">
        <is>
          <t>Criteria analysis</t>
        </is>
      </c>
      <c r="C5" t="inlineStr">
        <is>
          <t>16:37:26</t>
        </is>
      </c>
      <c r="D5" t="inlineStr">
        <is>
          <t>16:38:17</t>
        </is>
      </c>
      <c r="E5" t="inlineStr">
        <is>
          <t>complete</t>
        </is>
      </c>
      <c r="F5" t="inlineStr">
        <is>
          <t>pass2_chunk_cache_v1, pass1_chunk_cache_v1, pass12_handoff_v1</t>
        </is>
      </c>
    </row>
    <row r="6">
      <c r="A6" t="inlineStr">
        <is>
          <t>Phase 3</t>
        </is>
      </c>
      <c r="B6" t="inlineStr">
        <is>
          <t>Pass 3B synthesis</t>
        </is>
      </c>
      <c r="C6" t="inlineStr">
        <is>
          <t>16:38:27 / 16:43:59</t>
        </is>
      </c>
      <c r="D6" t="inlineStr">
        <is>
          <t>16:49:44</t>
        </is>
      </c>
      <c r="E6" t="inlineStr">
        <is>
          <t>FAILED</t>
        </is>
      </c>
      <c r="F6" t="inlineStr">
        <is>
          <t>CRITERION_OPPORTUNITY_COVERAGE_INVALID; no evaluation_result_v2</t>
        </is>
      </c>
    </row>
    <row r="7">
      <c r="A7" t="inlineStr">
        <is>
          <t>WAVE</t>
        </is>
      </c>
      <c r="B7" t="inlineStr">
        <is>
          <t>N/A (short form)</t>
        </is>
      </c>
      <c r="C7" t="inlineStr">
        <is>
          <t>-</t>
        </is>
      </c>
      <c r="D7" t="inlineStr">
        <is>
          <t>-</t>
        </is>
      </c>
      <c r="E7" t="inlineStr">
        <is>
          <t>skipped</t>
        </is>
      </c>
      <c r="F7" t="inlineStr">
        <is>
          <t>review_gate_skipped_short_form</t>
        </is>
      </c>
    </row>
    <row r="8">
      <c r="A8" t="inlineStr">
        <is>
          <t>Finalization</t>
        </is>
      </c>
      <c r="B8" t="inlineStr">
        <is>
          <t>Report assembly</t>
        </is>
      </c>
      <c r="C8" t="inlineStr">
        <is>
          <t>-</t>
        </is>
      </c>
      <c r="D8" t="inlineStr">
        <is>
          <t>-</t>
        </is>
      </c>
      <c r="E8" t="inlineStr">
        <is>
          <t>not reached</t>
        </is>
      </c>
      <c r="F8" t="inlineStr">
        <is>
          <t>no report_render_manifest_v1</t>
        </is>
      </c>
    </row>
    <row r="11">
      <c r="A11" t="inlineStr">
        <is>
          <t>Pass 2 source ID</t>
        </is>
      </c>
      <c r="B11" t="inlineStr">
        <is>
          <t>Criterion</t>
        </is>
      </c>
      <c r="C11" t="inlineStr">
        <is>
          <t>Action (truncated)</t>
        </is>
      </c>
      <c r="D11" t="inlineStr">
        <is>
          <t>Pass 3B outcome</t>
        </is>
      </c>
    </row>
    <row r="12">
      <c r="A12" t="inlineStr">
        <is>
          <t>narrativeDrive:41251dc413e566eaa7ee:1</t>
        </is>
      </c>
      <c r="B12" t="inlineStr">
        <is>
          <t>narrativeDrive</t>
        </is>
      </c>
      <c r="C12" t="inlineStr">
        <is>
          <t>Condense exposition in dialogue</t>
        </is>
      </c>
      <c r="D12" t="inlineStr">
        <is>
          <t>unaccounted</t>
        </is>
      </c>
    </row>
    <row r="13">
      <c r="A13" t="inlineStr">
        <is>
          <t>voice:a913db75fadc0ac7b7a4:1</t>
        </is>
      </c>
      <c r="B13" t="inlineStr">
        <is>
          <t>voice</t>
        </is>
      </c>
      <c r="C13" t="inlineStr">
        <is>
          <t>Ensure consistent tone in dialogue</t>
        </is>
      </c>
      <c r="D13" t="inlineStr">
        <is>
          <t>unaccounted</t>
        </is>
      </c>
    </row>
    <row r="14">
      <c r="A14" t="inlineStr">
        <is>
          <t>sceneConstruction:7f2c8f206a8e430b5861:1</t>
        </is>
      </c>
      <c r="B14" t="inlineStr">
        <is>
          <t>sceneConstruction</t>
        </is>
      </c>
      <c r="C14" t="inlineStr">
        <is>
          <t>Add transitional phrases between dialogue topics</t>
        </is>
      </c>
      <c r="D14" t="inlineStr">
        <is>
          <t>unaccounted</t>
        </is>
      </c>
    </row>
    <row r="15">
      <c r="A15" t="inlineStr">
        <is>
          <t>worldbuilding:6c7bac7397a3d3538880:1</t>
        </is>
      </c>
      <c r="B15" t="inlineStr">
        <is>
          <t>worldbuilding</t>
        </is>
      </c>
      <c r="C15" t="inlineStr">
        <is>
          <t>Add more cultural context</t>
        </is>
      </c>
      <c r="D15" t="inlineStr">
        <is>
          <t>unaccounted</t>
        </is>
      </c>
    </row>
    <row r="16">
      <c r="A16" t="inlineStr">
        <is>
          <t>worldbuilding:4bce63eef8dd8f42f82b:1</t>
        </is>
      </c>
      <c r="B16" t="inlineStr">
        <is>
          <t>worldbuilding</t>
        </is>
      </c>
      <c r="C16" t="inlineStr">
        <is>
          <t>Incorporate more sensory details about Cameroon</t>
        </is>
      </c>
      <c r="D16" t="inlineStr">
        <is>
          <t>unaccounted</t>
        </is>
      </c>
    </row>
    <row r="17">
      <c r="A17" t="inlineStr">
        <is>
          <t>pacing:658aafd6a85f67fb630e:1</t>
        </is>
      </c>
      <c r="B17" t="inlineStr">
        <is>
          <t>pacing</t>
        </is>
      </c>
      <c r="C17" t="inlineStr">
        <is>
          <t>Trim unnecessary exposition</t>
        </is>
      </c>
      <c r="D17" t="inlineStr">
        <is>
          <t>unaccounted</t>
        </is>
      </c>
    </row>
    <row r="18">
      <c r="A18" t="inlineStr">
        <is>
          <t>pacing:31913effea64dc7f5f5c:1</t>
        </is>
      </c>
      <c r="B18" t="inlineStr">
        <is>
          <t>pacing</t>
        </is>
      </c>
      <c r="C18" t="inlineStr">
        <is>
          <t>Trim excessive dialogue</t>
        </is>
      </c>
      <c r="D18" t="inlineStr">
        <is>
          <t>unaccounted</t>
        </is>
      </c>
    </row>
    <row r="19">
      <c r="A19" t="inlineStr">
        <is>
          <t>proseControl:c2cbb38a6e37bba6401f:1</t>
        </is>
      </c>
      <c r="B19" t="inlineStr">
        <is>
          <t>proseControl</t>
        </is>
      </c>
      <c r="C19" t="inlineStr">
        <is>
          <t>Tighten syntax in descriptive passages</t>
        </is>
      </c>
      <c r="D19" t="inlineStr">
        <is>
          <t>unaccounted</t>
        </is>
      </c>
    </row>
    <row r="20">
      <c r="A20" t="inlineStr">
        <is>
          <t>proseControl:9bab0854932e7e172ea6:1</t>
        </is>
      </c>
      <c r="B20" t="inlineStr">
        <is>
          <t>proseControl</t>
        </is>
      </c>
      <c r="C20" t="inlineStr">
        <is>
          <t>Tighten sentence structure</t>
        </is>
      </c>
      <c r="D20" t="inlineStr">
        <is>
          <t>unaccounted</t>
        </is>
      </c>
    </row>
    <row r="21">
      <c r="A21" t="inlineStr">
        <is>
          <t>narrativeClosure:8a0dfe93aaefd11905ca:1</t>
        </is>
      </c>
      <c r="B21" t="inlineStr">
        <is>
          <t>narrativeClosure</t>
        </is>
      </c>
      <c r="C21" t="inlineStr">
        <is>
          <t>Add concluding line tying to themes</t>
        </is>
      </c>
      <c r="D21" t="inlineStr">
        <is>
          <t>unaccounted</t>
        </is>
      </c>
    </row>
    <row r="22">
      <c r="A22" t="inlineStr">
        <is>
          <t>narrativeClosure:a9150c58e04796df0474:1</t>
        </is>
      </c>
      <c r="B22" t="inlineStr">
        <is>
          <t>narrativeClosure</t>
        </is>
      </c>
      <c r="C22" t="inlineStr">
        <is>
          <t>Provide more definitive closing statement</t>
        </is>
      </c>
      <c r="D22" t="inlineStr">
        <is>
          <t>unaccounted</t>
        </is>
      </c>
    </row>
    <row r="23">
      <c r="A23" t="inlineStr">
        <is>
          <t>marketability:7e59a1fd3a137f12f574:1</t>
        </is>
      </c>
      <c r="B23" t="inlineStr">
        <is>
          <t>marketability</t>
        </is>
      </c>
      <c r="C23" t="inlineStr">
        <is>
          <t>Tighten narrative for broader appeal</t>
        </is>
      </c>
      <c r="D23" t="inlineStr">
        <is>
          <t>unaccounted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2026-07-21T16:56:40Z</dcterms:created>
  <dcterms:modified xmlns:dcterms="http://purl.org/dc/terms/" xmlns:xsi="http://www.w3.org/2001/XMLSchema-instance" xsi:type="dcterms:W3CDTF">2026-07-21T16:56:40Z</dcterms:modified>
</cp:coreProperties>
</file>