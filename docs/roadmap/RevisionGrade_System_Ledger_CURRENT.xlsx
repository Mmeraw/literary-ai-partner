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EDGER_RECONCILIATION_AUDIT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oadmap_System" sheetId="3" state="visible" r:id="rId3"/>
    <sheet xmlns:r="http://schemas.openxmlformats.org/officeDocument/2006/relationships" name="Complete-Partially-Pending" sheetId="4" state="visible" r:id="rId4"/>
    <sheet xmlns:r="http://schemas.openxmlformats.org/officeDocument/2006/relationships" name="CURRENT_STATE" sheetId="5" state="visible" r:id="rId5"/>
    <sheet xmlns:r="http://schemas.openxmlformats.org/officeDocument/2006/relationships" name="U_GATES_ENFORCEMENT" sheetId="6" state="visible" r:id="rId6"/>
    <sheet xmlns:r="http://schemas.openxmlformats.org/officeDocument/2006/relationships" name="EXECUTION_BLOCK" sheetId="7" state="visible" r:id="rId7"/>
    <sheet xmlns:r="http://schemas.openxmlformats.org/officeDocument/2006/relationships" name="ROADMAP_LANES" sheetId="8" state="visible" r:id="rId8"/>
    <sheet xmlns:r="http://schemas.openxmlformats.org/officeDocument/2006/relationships" name="CANON_CODE_MAP" sheetId="9" state="visible" r:id="rId9"/>
    <sheet xmlns:r="http://schemas.openxmlformats.org/officeDocument/2006/relationships" name="SOURCE_INDEX" sheetId="10" state="visible" r:id="rId10"/>
    <sheet xmlns:r="http://schemas.openxmlformats.org/officeDocument/2006/relationships" name="ROADMAP_ARCHIVE_KEY" sheetId="11" state="visible" r:id="rId11"/>
    <sheet xmlns:r="http://schemas.openxmlformats.org/officeDocument/2006/relationships" name="ROOT_CAUSE_ANALYSIS" sheetId="12" state="visible" r:id="rId12"/>
    <sheet xmlns:r="http://schemas.openxmlformats.org/officeDocument/2006/relationships" name="E2E_SCRIPT_MAP" sheetId="13" state="visible" r:id="rId13"/>
    <sheet xmlns:r="http://schemas.openxmlformats.org/officeDocument/2006/relationships" name="RCA_SCRIPT_LINKS" sheetId="14" state="visible" r:id="rId14"/>
    <sheet xmlns:r="http://schemas.openxmlformats.org/officeDocument/2006/relationships" name="RCA_BATCH_PLAN" sheetId="15" state="visible" r:id="rId15"/>
    <sheet xmlns:r="http://schemas.openxmlformats.org/officeDocument/2006/relationships" name="ENFORCEMENT_SCALE" sheetId="16" state="visible" r:id="rId16"/>
    <sheet xmlns:r="http://schemas.openxmlformats.org/officeDocument/2006/relationships" name="RCA_LINK_MAP" sheetId="17" state="visible" r:id="rId17"/>
    <sheet xmlns:r="http://schemas.openxmlformats.org/officeDocument/2006/relationships" name="VERIFICATION_ARTIFACTS" sheetId="18" state="visible" r:id="rId18"/>
    <sheet xmlns:r="http://schemas.openxmlformats.org/officeDocument/2006/relationships" name="Doctrine" sheetId="19" state="visible" r:id="rId19"/>
    <sheet xmlns:r="http://schemas.openxmlformats.org/officeDocument/2006/relationships" name="Change-Log" sheetId="20" state="visible" r:id="rId20"/>
    <sheet xmlns:r="http://schemas.openxmlformats.org/officeDocument/2006/relationships" name="Summary" sheetId="21" state="visible" r:id="rId21"/>
    <sheet xmlns:r="http://schemas.openxmlformats.org/officeDocument/2006/relationships" name="MERGE_AUDIT" sheetId="22" state="visible" r:id="rId22"/>
    <sheet xmlns:r="http://schemas.openxmlformats.org/officeDocument/2006/relationships" name="CONTAINMENT_CHECK" sheetId="23" state="visible" r:id="rId23"/>
    <sheet xmlns:r="http://schemas.openxmlformats.org/officeDocument/2006/relationships" name="FORMULA_ERROR_SCAN" sheetId="24" state="visible" r:id="rId24"/>
  </sheets>
  <definedNames/>
</workbook>
</file>

<file path=xl/styles.xml><?xml version="1.0" encoding="utf-8"?>
<styleSheet xmlns="http://schemas.openxmlformats.org/spreadsheetml/2006/main">
  <numFmts count="0"/>
  <fonts count="24">
    <font>
      <name val="Calibri"/>
      <color theme="1"/>
      <sz val="11"/>
    </font>
    <font>
      <name val="Calibri"/>
      <color rgb="00111827"/>
      <sz val="10"/>
    </font>
    <font>
      <name val="Aptos"/>
      <color rgb="00111827"/>
      <sz val="10"/>
    </font>
    <font>
      <name val="Aptos Display"/>
      <b val="1"/>
      <color rgb="000F172A"/>
      <sz val="14"/>
    </font>
    <font>
      <name val="Aptos"/>
      <b val="1"/>
      <color rgb="00334155"/>
      <sz val="10"/>
    </font>
    <font>
      <name val="Calibri"/>
      <b val="1"/>
      <color rgb="000F172A"/>
      <sz val="10"/>
    </font>
    <font>
      <name val="Calibri"/>
      <color theme="1"/>
      <sz val="11"/>
    </font>
    <font>
      <name val="Arial Unicode MS"/>
      <color theme="1"/>
      <sz val="10"/>
    </font>
    <font>
      <name val="Calibri"/>
      <b val="1"/>
      <color theme="1"/>
      <sz val="18"/>
    </font>
    <font>
      <name val="Calibri"/>
      <b val="1"/>
      <color theme="1"/>
      <sz val="13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Aptos"/>
      <b val="1"/>
      <color rgb="00FFFFFF"/>
      <sz val="10"/>
    </font>
    <font>
      <name val="Aptos Display"/>
      <b val="1"/>
      <color rgb="00FFFFFF"/>
      <sz val="14"/>
    </font>
    <font>
      <name val="Calibri"/>
      <b val="1"/>
      <color theme="1"/>
      <sz val="14"/>
    </font>
    <font>
      <name val="Calibri"/>
      <b val="1"/>
      <color rgb="00111827"/>
      <sz val="10"/>
    </font>
    <font>
      <name val="Calibri"/>
      <b val="1"/>
      <color theme="1"/>
      <sz val="11"/>
    </font>
    <font>
      <name val="Aptos Display"/>
      <b val="1"/>
      <color rgb="FF1F2937"/>
      <sz val="16"/>
    </font>
    <font>
      <name val="Carlito"/>
      <sz val="11"/>
    </font>
    <font>
      <name val="Aptos"/>
      <b val="1"/>
      <color rgb="FF111827"/>
      <sz val="11"/>
    </font>
    <font>
      <name val="Aptos"/>
      <color rgb="FF111827"/>
      <sz val="10"/>
    </font>
    <font>
      <name val="Carlito"/>
      <b val="1"/>
      <sz val="11"/>
    </font>
    <font>
      <name val="Aptos"/>
      <sz val="10"/>
    </font>
    <font>
      <b val="1"/>
    </font>
  </fonts>
  <fills count="17">
    <fill>
      <patternFill/>
    </fill>
    <fill>
      <patternFill patternType="gray125"/>
    </fill>
    <fill>
      <patternFill patternType="solid">
        <fgColor rgb="00E0F2FE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E0F2FE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EAF2F8"/>
      </patternFill>
    </fill>
    <fill>
      <patternFill patternType="solid">
        <fgColor rgb="FFF8FAFC"/>
      </patternFill>
    </fill>
    <fill>
      <patternFill patternType="solid">
        <fgColor rgb="FFEAF2F8"/>
      </patternFill>
    </fill>
    <fill>
      <patternFill patternType="solid">
        <fgColor rgb="00EADCF8"/>
      </patternFill>
    </fill>
    <fill>
      <patternFill patternType="solid">
        <fgColor rgb="00E7E6E6"/>
      </patternFill>
    </fill>
  </fills>
  <borders count="53"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/>
    <border>
      <left style="thin">
        <color rgb="00BAE6FD"/>
      </left>
      <right style="thin">
        <color rgb="00E5E7EB"/>
      </right>
      <top style="thin">
        <color rgb="00BAE6FD"/>
      </top>
      <bottom style="thin">
        <color rgb="00BAE6FD"/>
      </bottom>
    </border>
    <border>
      <left style="thin">
        <color rgb="00E5E7EB"/>
      </left>
      <right style="thin">
        <color rgb="00E5E7EB"/>
      </right>
      <top style="thin">
        <color rgb="00BAE6FD"/>
      </top>
      <bottom style="thin">
        <color rgb="00BAE6FD"/>
      </bottom>
    </border>
    <border>
      <left style="thin">
        <color rgb="00E5E7EB"/>
      </left>
      <right style="thin">
        <color rgb="00BAE6FD"/>
      </right>
      <top style="thin">
        <color rgb="00BAE6FD"/>
      </top>
      <bottom style="thin">
        <color rgb="00BAE6FD"/>
      </bottom>
    </border>
    <border>
      <left style="thin">
        <color rgb="00BAE6FD"/>
      </left>
      <right style="thin">
        <color rgb="00E5E7EB"/>
      </right>
      <top style="thin">
        <color rgb="00BAE6FD"/>
      </top>
      <bottom style="thin">
        <color rgb="00BAE6FD"/>
      </bottom>
    </border>
    <border>
      <right style="thin">
        <color rgb="00CBD5E1"/>
      </right>
      <top style="thin">
        <color rgb="00E5E7EB"/>
      </top>
      <bottom style="thin">
        <color rgb="00E5E7EB"/>
      </bottom>
    </border>
    <border>
      <left style="thin">
        <color rgb="00CBD5E1"/>
      </left>
      <right style="thin">
        <color rgb="00CBD5E1"/>
      </right>
      <top style="thin">
        <color rgb="00E5E7EB"/>
      </top>
      <bottom style="thin">
        <color rgb="00E5E7EB"/>
      </bottom>
    </border>
    <border>
      <left style="thin">
        <color rgb="00CBD5E1"/>
      </left>
      <right style="thin">
        <color rgb="00E5E7EB"/>
      </right>
      <top style="thin">
        <color rgb="00E5E7EB"/>
      </top>
      <bottom style="thin">
        <color rgb="00E5E7EB"/>
      </bottom>
    </border>
    <border>
      <right style="thin">
        <color rgb="00CBD5E1"/>
      </right>
      <top style="thin">
        <color rgb="00E5E7EB"/>
      </top>
      <bottom style="thin">
        <color rgb="00E5E7EB"/>
      </bottom>
    </border>
    <border>
      <left style="thin">
        <color rgb="00CBD5E1"/>
      </left>
      <right style="thin">
        <color rgb="00CBD5E1"/>
      </right>
      <top style="thin">
        <color rgb="00E5E7EB"/>
      </top>
      <bottom style="thin">
        <color rgb="00E5E7EB"/>
      </bottom>
    </border>
    <border>
      <right style="thin">
        <color rgb="00EEF2F7"/>
      </right>
      <top style="thin">
        <color rgb="00E5E7EB"/>
      </top>
      <bottom style="thin">
        <color rgb="00EEF2F7"/>
      </bottom>
    </border>
    <border>
      <left style="thin">
        <color rgb="00EEF2F7"/>
      </left>
      <right style="thin">
        <color rgb="00EEF2F7"/>
      </right>
      <top style="thin">
        <color rgb="00E5E7EB"/>
      </top>
      <bottom style="thin">
        <color rgb="00EEF2F7"/>
      </bottom>
    </border>
    <border>
      <left style="thin">
        <color rgb="00EEF2F7"/>
      </left>
      <right style="thin">
        <color rgb="00E5E7EB"/>
      </right>
      <top style="thin">
        <color rgb="00E5E7EB"/>
      </top>
      <bottom style="thin">
        <color rgb="00EEF2F7"/>
      </bottom>
    </border>
    <border>
      <right style="thin">
        <color rgb="00EEF2F7"/>
      </right>
      <top style="thin">
        <color rgb="00EEF2F7"/>
      </top>
      <bottom style="thin">
        <color rgb="00EEF2F7"/>
      </bottom>
    </border>
    <border>
      <left style="thin">
        <color rgb="00EEF2F7"/>
      </left>
      <right style="thin">
        <color rgb="00EEF2F7"/>
      </right>
      <top style="thin">
        <color rgb="00EEF2F7"/>
      </top>
      <bottom style="thin">
        <color rgb="00EEF2F7"/>
      </bottom>
    </border>
    <border>
      <left style="thin">
        <color rgb="00EEF2F7"/>
      </left>
      <right style="thin">
        <color rgb="00E5E7EB"/>
      </right>
      <top style="thin">
        <color rgb="00EEF2F7"/>
      </top>
      <bottom style="thin">
        <color rgb="00EEF2F7"/>
      </bottom>
    </border>
    <border>
      <right style="thin">
        <color rgb="00EEF2F7"/>
      </right>
      <top style="thin">
        <color rgb="00EEF2F7"/>
      </top>
      <bottom style="thin">
        <color rgb="00E5E7EB"/>
      </bottom>
    </border>
    <border>
      <left style="thin">
        <color rgb="00EEF2F7"/>
      </left>
      <right style="thin">
        <color rgb="00EEF2F7"/>
      </right>
      <top style="thin">
        <color rgb="00EEF2F7"/>
      </top>
      <bottom style="thin">
        <color rgb="00E5E7EB"/>
      </bottom>
    </border>
    <border>
      <left style="thin">
        <color rgb="00EEF2F7"/>
      </left>
      <right style="thin">
        <color rgb="00E5E7EB"/>
      </right>
      <top style="thin">
        <color rgb="00EEF2F7"/>
      </top>
      <bottom style="thin">
        <color rgb="00E5E7EB"/>
      </bottom>
    </border>
    <border>
      <top style="thin">
        <color rgb="00BAE6FD"/>
      </top>
      <bottom style="thin">
        <color rgb="00BAE6FD"/>
      </bottom>
    </border>
    <border>
      <right style="thin">
        <color rgb="00E5E7EB"/>
      </right>
      <top style="thin">
        <color rgb="00BAE6FD"/>
      </top>
      <bottom style="thin">
        <color rgb="00BAE6FD"/>
      </bottom>
    </border>
    <border>
      <top style="thin">
        <color rgb="00E5E7EB"/>
      </top>
      <bottom style="thin">
        <color rgb="00E5E7EB"/>
      </bottom>
    </border>
    <border/>
    <border>
      <left style="thin">
        <color rgb="00BAE6FD"/>
      </left>
      <right style="thin">
        <color rgb="00E5E7EB"/>
      </right>
      <top style="thin">
        <color rgb="00BAE6FD"/>
      </top>
      <bottom style="thin">
        <color rgb="00BAE6FD"/>
      </bottom>
    </border>
    <border>
      <left style="thin">
        <color rgb="00E5E7EB"/>
      </left>
      <right style="thin">
        <color rgb="00E5E7EB"/>
      </right>
      <top style="thin">
        <color rgb="00BAE6FD"/>
      </top>
      <bottom style="thin">
        <color rgb="00BAE6FD"/>
      </bottom>
    </border>
    <border>
      <left style="thin">
        <color rgb="00E5E7EB"/>
      </left>
      <right style="thin">
        <color rgb="00BAE6FD"/>
      </right>
      <top style="thin">
        <color rgb="00BAE6FD"/>
      </top>
      <bottom style="thin">
        <color rgb="00BAE6FD"/>
      </bottom>
    </border>
    <border>
      <right style="thin">
        <color rgb="00CBD5E1"/>
      </right>
      <top style="thin">
        <color rgb="00E5E7EB"/>
      </top>
      <bottom style="thin">
        <color rgb="00E5E7EB"/>
      </bottom>
    </border>
    <border>
      <left style="thin">
        <color rgb="00CBD5E1"/>
      </left>
      <right style="thin">
        <color rgb="00CBD5E1"/>
      </right>
      <top style="thin">
        <color rgb="00E5E7EB"/>
      </top>
      <bottom style="thin">
        <color rgb="00E5E7EB"/>
      </bottom>
    </border>
    <border>
      <left style="thin">
        <color rgb="00CBD5E1"/>
      </left>
      <right style="thin">
        <color rgb="00E5E7EB"/>
      </right>
      <top style="thin">
        <color rgb="00E5E7EB"/>
      </top>
      <bottom style="thin">
        <color rgb="00E5E7EB"/>
      </bottom>
    </border>
    <border>
      <right style="thin">
        <color rgb="00EEF2F7"/>
      </right>
      <top style="thin">
        <color rgb="00E5E7EB"/>
      </top>
      <bottom style="thin">
        <color rgb="00EEF2F7"/>
      </bottom>
    </border>
    <border>
      <left style="thin">
        <color rgb="00EEF2F7"/>
      </left>
      <right style="thin">
        <color rgb="00EEF2F7"/>
      </right>
      <top style="thin">
        <color rgb="00E5E7EB"/>
      </top>
      <bottom style="thin">
        <color rgb="00EEF2F7"/>
      </bottom>
    </border>
    <border>
      <left style="thin">
        <color rgb="00EEF2F7"/>
      </left>
      <right style="thin">
        <color rgb="00E5E7EB"/>
      </right>
      <top style="thin">
        <color rgb="00E5E7EB"/>
      </top>
      <bottom style="thin">
        <color rgb="00EEF2F7"/>
      </bottom>
    </border>
    <border>
      <right style="thin">
        <color rgb="00EEF2F7"/>
      </right>
      <top style="thin">
        <color rgb="00EEF2F7"/>
      </top>
      <bottom style="thin">
        <color rgb="00EEF2F7"/>
      </bottom>
    </border>
    <border>
      <left style="thin">
        <color rgb="00EEF2F7"/>
      </left>
      <right style="thin">
        <color rgb="00EEF2F7"/>
      </right>
      <top style="thin">
        <color rgb="00EEF2F7"/>
      </top>
      <bottom style="thin">
        <color rgb="00EEF2F7"/>
      </bottom>
    </border>
    <border>
      <left style="thin">
        <color rgb="00EEF2F7"/>
      </left>
      <right style="thin">
        <color rgb="00E5E7EB"/>
      </right>
      <top style="thin">
        <color rgb="00EEF2F7"/>
      </top>
      <bottom style="thin">
        <color rgb="00EEF2F7"/>
      </bottom>
    </border>
    <border>
      <right style="thin">
        <color rgb="00EEF2F7"/>
      </right>
      <top style="thin">
        <color rgb="00EEF2F7"/>
      </top>
      <bottom style="thin">
        <color rgb="00E5E7EB"/>
      </bottom>
    </border>
    <border>
      <left style="thin">
        <color rgb="00EEF2F7"/>
      </left>
      <right style="thin">
        <color rgb="00EEF2F7"/>
      </right>
      <top style="thin">
        <color rgb="00EEF2F7"/>
      </top>
      <bottom style="thin">
        <color rgb="00E5E7EB"/>
      </bottom>
    </border>
    <border>
      <left style="thin">
        <color rgb="00EEF2F7"/>
      </left>
      <right style="thin">
        <color rgb="00E5E7EB"/>
      </right>
      <top style="thin">
        <color rgb="00EEF2F7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BAE6FD"/>
      </top>
      <bottom style="thin">
        <color rgb="00BAE6FD"/>
      </bottom>
    </border>
    <border>
      <right style="thin">
        <color rgb="00E5E7EB"/>
      </right>
      <top style="thin">
        <color rgb="00BAE6FD"/>
      </top>
      <bottom style="thin">
        <color rgb="00BAE6FD"/>
      </bottom>
    </border>
    <border>
      <top style="thin">
        <color rgb="00E5E7EB"/>
      </top>
      <bottom style="thin">
        <color rgb="00E5E7EB"/>
      </bottom>
    </border>
    <border>
      <top style="thin">
        <color rgb="00BAE6FD"/>
      </top>
    </border>
    <border>
      <right style="thin">
        <color rgb="00E5E7EB"/>
      </right>
      <top style="thin">
        <color rgb="00BAE6FD"/>
      </top>
    </border>
    <border>
      <top style="thin">
        <color rgb="00E5E7EB"/>
      </top>
    </border>
    <border>
      <right style="thin">
        <color rgb="00CBD5E1"/>
      </right>
      <top style="thin">
        <color rgb="00E5E7EB"/>
      </top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6" fillId="0" borderId="25"/>
  </cellStyleXfs>
  <cellXfs count="298">
    <xf numFmtId="0" fontId="0" fillId="0" borderId="0" pivotButton="0" quotePrefix="0" xfId="0"/>
    <xf numFmtId="0" fontId="3" fillId="2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2" fillId="4" borderId="13" applyAlignment="1" pivotButton="0" quotePrefix="0" xfId="0">
      <alignment vertical="top" wrapText="1"/>
    </xf>
    <xf numFmtId="0" fontId="2" fillId="4" borderId="14" applyAlignment="1" pivotButton="0" quotePrefix="0" xfId="0">
      <alignment vertical="top" wrapText="1"/>
    </xf>
    <xf numFmtId="0" fontId="2" fillId="4" borderId="15" applyAlignment="1" pivotButton="0" quotePrefix="0" xfId="0">
      <alignment vertical="top" wrapText="1"/>
    </xf>
    <xf numFmtId="0" fontId="2" fillId="4" borderId="16" applyAlignment="1" pivotButton="0" quotePrefix="0" xfId="0">
      <alignment vertical="top" wrapText="1"/>
    </xf>
    <xf numFmtId="0" fontId="2" fillId="4" borderId="17" applyAlignment="1" pivotButton="0" quotePrefix="0" xfId="0">
      <alignment vertical="top" wrapText="1"/>
    </xf>
    <xf numFmtId="0" fontId="2" fillId="4" borderId="18" applyAlignment="1" pivotButton="0" quotePrefix="0" xfId="0">
      <alignment vertical="top" wrapText="1"/>
    </xf>
    <xf numFmtId="0" fontId="2" fillId="4" borderId="19" applyAlignment="1" pivotButton="0" quotePrefix="0" xfId="0">
      <alignment vertical="top" wrapText="1"/>
    </xf>
    <xf numFmtId="0" fontId="2" fillId="4" borderId="20" applyAlignment="1" pivotButton="0" quotePrefix="0" xfId="0">
      <alignment vertical="top" wrapText="1"/>
    </xf>
    <xf numFmtId="0" fontId="2" fillId="4" borderId="21" applyAlignment="1" pivotButton="0" quotePrefix="0" xfId="0">
      <alignment vertical="top" wrapText="1"/>
    </xf>
    <xf numFmtId="0" fontId="1" fillId="0" borderId="2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3" fillId="2" borderId="7" applyAlignment="1" pivotButton="0" quotePrefix="0" xfId="0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4" fillId="3" borderId="12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11" pivotButton="0" quotePrefix="0" xfId="0"/>
    <xf numFmtId="0" fontId="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25" pivotButton="0" quotePrefix="0" xfId="0"/>
    <xf numFmtId="0" fontId="3" fillId="2" borderId="26" applyAlignment="1" pivotButton="0" quotePrefix="0" xfId="0">
      <alignment vertical="center" wrapText="1"/>
    </xf>
    <xf numFmtId="0" fontId="3" fillId="2" borderId="27" applyAlignment="1" pivotButton="0" quotePrefix="0" xfId="0">
      <alignment vertical="center" wrapText="1"/>
    </xf>
    <xf numFmtId="0" fontId="3" fillId="2" borderId="28" applyAlignment="1" pivotButton="0" quotePrefix="0" xfId="0">
      <alignment vertical="center" wrapText="1"/>
    </xf>
    <xf numFmtId="0" fontId="4" fillId="3" borderId="29" applyAlignment="1" pivotButton="0" quotePrefix="0" xfId="0">
      <alignment horizontal="center" vertical="center" wrapText="1"/>
    </xf>
    <xf numFmtId="0" fontId="4" fillId="3" borderId="30" applyAlignment="1" pivotButton="0" quotePrefix="0" xfId="0">
      <alignment horizontal="center" vertical="center" wrapText="1"/>
    </xf>
    <xf numFmtId="0" fontId="4" fillId="3" borderId="31" applyAlignment="1" pivotButton="0" quotePrefix="0" xfId="0">
      <alignment horizontal="center" vertical="center" wrapText="1"/>
    </xf>
    <xf numFmtId="0" fontId="2" fillId="4" borderId="32" applyAlignment="1" pivotButton="0" quotePrefix="0" xfId="0">
      <alignment vertical="top" wrapText="1"/>
    </xf>
    <xf numFmtId="0" fontId="2" fillId="4" borderId="33" applyAlignment="1" pivotButton="0" quotePrefix="0" xfId="0">
      <alignment vertical="top" wrapText="1"/>
    </xf>
    <xf numFmtId="0" fontId="2" fillId="4" borderId="34" applyAlignment="1" pivotButton="0" quotePrefix="0" xfId="0">
      <alignment vertical="top" wrapText="1"/>
    </xf>
    <xf numFmtId="0" fontId="2" fillId="4" borderId="35" applyAlignment="1" pivotButton="0" quotePrefix="0" xfId="0">
      <alignment vertical="top" wrapText="1"/>
    </xf>
    <xf numFmtId="0" fontId="2" fillId="4" borderId="36" applyAlignment="1" pivotButton="0" quotePrefix="0" xfId="0">
      <alignment vertical="top" wrapText="1"/>
    </xf>
    <xf numFmtId="0" fontId="2" fillId="4" borderId="37" applyAlignment="1" pivotButton="0" quotePrefix="0" xfId="0">
      <alignment vertical="top" wrapText="1"/>
    </xf>
    <xf numFmtId="0" fontId="2" fillId="4" borderId="38" applyAlignment="1" pivotButton="0" quotePrefix="0" xfId="0">
      <alignment vertical="top" wrapText="1"/>
    </xf>
    <xf numFmtId="0" fontId="2" fillId="4" borderId="39" applyAlignment="1" pivotButton="0" quotePrefix="0" xfId="0">
      <alignment vertical="top" wrapText="1"/>
    </xf>
    <xf numFmtId="0" fontId="2" fillId="4" borderId="40" applyAlignment="1" pivotButton="0" quotePrefix="0" xfId="0">
      <alignment vertical="top" wrapText="1"/>
    </xf>
    <xf numFmtId="0" fontId="1" fillId="0" borderId="41" applyAlignment="1" pivotButton="0" quotePrefix="0" xfId="0">
      <alignment vertical="top" wrapText="1"/>
    </xf>
    <xf numFmtId="0" fontId="5" fillId="2" borderId="42" applyAlignment="1" pivotButton="0" quotePrefix="0" xfId="0">
      <alignment horizontal="center" vertical="center" wrapText="1"/>
    </xf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29" pivotButton="0" quotePrefix="0" xfId="0"/>
    <xf numFmtId="0" fontId="0" fillId="0" borderId="25" applyAlignment="1" pivotButton="0" quotePrefix="0" xfId="0">
      <alignment vertical="center"/>
    </xf>
    <xf numFmtId="0" fontId="8" fillId="0" borderId="25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7" fillId="0" borderId="25" applyAlignment="1" pivotButton="0" quotePrefix="0" xfId="0">
      <alignment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42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6" borderId="42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top" wrapText="1"/>
    </xf>
    <xf numFmtId="0" fontId="10" fillId="6" borderId="42" applyAlignment="1" pivotButton="0" quotePrefix="0" xfId="0">
      <alignment horizontal="center" vertical="top" wrapText="1"/>
    </xf>
    <xf numFmtId="0" fontId="0" fillId="6" borderId="0" pivotButton="0" quotePrefix="0" xfId="0"/>
    <xf numFmtId="0" fontId="0" fillId="6" borderId="25" pivotButton="0" quotePrefix="0" xfId="0"/>
    <xf numFmtId="0" fontId="11" fillId="6" borderId="0" pivotButton="0" quotePrefix="0" xfId="0"/>
    <xf numFmtId="0" fontId="11" fillId="6" borderId="25" pivotButton="0" quotePrefix="0" xfId="0"/>
    <xf numFmtId="0" fontId="11" fillId="6" borderId="0" applyAlignment="1" pivotButton="0" quotePrefix="0" xfId="0">
      <alignment wrapText="1"/>
    </xf>
    <xf numFmtId="0" fontId="11" fillId="6" borderId="25" applyAlignment="1" pivotButton="0" quotePrefix="0" xfId="0">
      <alignment wrapText="1"/>
    </xf>
    <xf numFmtId="0" fontId="11" fillId="6" borderId="0" applyAlignment="1" pivotButton="0" quotePrefix="0" xfId="0">
      <alignment vertical="top" wrapText="1"/>
    </xf>
    <xf numFmtId="0" fontId="11" fillId="6" borderId="25" applyAlignment="1" pivotButton="0" quotePrefix="0" xfId="0">
      <alignment vertical="top" wrapText="1"/>
    </xf>
    <xf numFmtId="0" fontId="4" fillId="6" borderId="8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center" vertical="center" wrapText="1"/>
    </xf>
    <xf numFmtId="0" fontId="4" fillId="6" borderId="29" applyAlignment="1" pivotButton="0" quotePrefix="0" xfId="0">
      <alignment horizontal="center" vertical="center" wrapText="1"/>
    </xf>
    <xf numFmtId="0" fontId="4" fillId="6" borderId="30" applyAlignment="1" pivotButton="0" quotePrefix="0" xfId="0">
      <alignment horizontal="center" vertical="center" wrapText="1"/>
    </xf>
    <xf numFmtId="0" fontId="4" fillId="6" borderId="31" applyAlignment="1" pivotButton="0" quotePrefix="0" xfId="0">
      <alignment horizontal="center" vertical="center" wrapText="1"/>
    </xf>
    <xf numFmtId="0" fontId="12" fillId="6" borderId="8" applyAlignment="1" pivotButton="0" quotePrefix="0" xfId="0">
      <alignment horizontal="center" vertical="center" wrapText="1"/>
    </xf>
    <xf numFmtId="0" fontId="12" fillId="6" borderId="9" applyAlignment="1" pivotButton="0" quotePrefix="0" xfId="0">
      <alignment horizontal="center" vertical="center" wrapText="1"/>
    </xf>
    <xf numFmtId="0" fontId="12" fillId="6" borderId="10" applyAlignment="1" pivotButton="0" quotePrefix="0" xfId="0">
      <alignment horizontal="center" vertical="center" wrapText="1"/>
    </xf>
    <xf numFmtId="0" fontId="12" fillId="6" borderId="29" applyAlignment="1" pivotButton="0" quotePrefix="0" xfId="0">
      <alignment horizontal="center" vertical="center" wrapText="1"/>
    </xf>
    <xf numFmtId="0" fontId="12" fillId="6" borderId="30" applyAlignment="1" pivotButton="0" quotePrefix="0" xfId="0">
      <alignment horizontal="center" vertical="center" wrapText="1"/>
    </xf>
    <xf numFmtId="0" fontId="12" fillId="6" borderId="31" applyAlignment="1" pivotButton="0" quotePrefix="0" xfId="0">
      <alignment horizontal="center" vertical="center" wrapText="1"/>
    </xf>
    <xf numFmtId="0" fontId="12" fillId="6" borderId="8" applyAlignment="1" pivotButton="0" quotePrefix="0" xfId="0">
      <alignment horizontal="center" vertical="top" wrapText="1"/>
    </xf>
    <xf numFmtId="0" fontId="12" fillId="6" borderId="9" applyAlignment="1" pivotButton="0" quotePrefix="0" xfId="0">
      <alignment horizontal="center" vertical="top" wrapText="1"/>
    </xf>
    <xf numFmtId="0" fontId="12" fillId="6" borderId="10" applyAlignment="1" pivotButton="0" quotePrefix="0" xfId="0">
      <alignment horizontal="center" vertical="top" wrapText="1"/>
    </xf>
    <xf numFmtId="0" fontId="12" fillId="6" borderId="29" applyAlignment="1" pivotButton="0" quotePrefix="0" xfId="0">
      <alignment horizontal="center" vertical="top" wrapText="1"/>
    </xf>
    <xf numFmtId="0" fontId="12" fillId="6" borderId="30" applyAlignment="1" pivotButton="0" quotePrefix="0" xfId="0">
      <alignment horizontal="center" vertical="top" wrapText="1"/>
    </xf>
    <xf numFmtId="0" fontId="12" fillId="6" borderId="31" applyAlignment="1" pivotButton="0" quotePrefix="0" xfId="0">
      <alignment horizontal="center" vertical="top" wrapText="1"/>
    </xf>
    <xf numFmtId="0" fontId="0" fillId="6" borderId="24" pivotButton="0" quotePrefix="0" xfId="0"/>
    <xf numFmtId="0" fontId="0" fillId="6" borderId="8" pivotButton="0" quotePrefix="0" xfId="0"/>
    <xf numFmtId="0" fontId="0" fillId="6" borderId="45" pivotButton="0" quotePrefix="0" xfId="0"/>
    <xf numFmtId="0" fontId="0" fillId="6" borderId="29" pivotButton="0" quotePrefix="0" xfId="0"/>
    <xf numFmtId="0" fontId="11" fillId="6" borderId="24" pivotButton="0" quotePrefix="0" xfId="0"/>
    <xf numFmtId="0" fontId="11" fillId="6" borderId="8" pivotButton="0" quotePrefix="0" xfId="0"/>
    <xf numFmtId="0" fontId="11" fillId="6" borderId="45" pivotButton="0" quotePrefix="0" xfId="0"/>
    <xf numFmtId="0" fontId="11" fillId="6" borderId="29" pivotButton="0" quotePrefix="0" xfId="0"/>
    <xf numFmtId="0" fontId="11" fillId="6" borderId="24" applyAlignment="1" pivotButton="0" quotePrefix="0" xfId="0">
      <alignment wrapText="1"/>
    </xf>
    <xf numFmtId="0" fontId="11" fillId="6" borderId="8" applyAlignment="1" pivotButton="0" quotePrefix="0" xfId="0">
      <alignment wrapText="1"/>
    </xf>
    <xf numFmtId="0" fontId="11" fillId="6" borderId="45" applyAlignment="1" pivotButton="0" quotePrefix="0" xfId="0">
      <alignment wrapText="1"/>
    </xf>
    <xf numFmtId="0" fontId="11" fillId="6" borderId="29" applyAlignment="1" pivotButton="0" quotePrefix="0" xfId="0">
      <alignment wrapText="1"/>
    </xf>
    <xf numFmtId="0" fontId="11" fillId="6" borderId="24" applyAlignment="1" pivotButton="0" quotePrefix="0" xfId="0">
      <alignment vertical="top" wrapText="1"/>
    </xf>
    <xf numFmtId="0" fontId="11" fillId="6" borderId="8" applyAlignment="1" pivotButton="0" quotePrefix="0" xfId="0">
      <alignment vertical="top" wrapText="1"/>
    </xf>
    <xf numFmtId="0" fontId="11" fillId="6" borderId="45" applyAlignment="1" pivotButton="0" quotePrefix="0" xfId="0">
      <alignment vertical="top" wrapText="1"/>
    </xf>
    <xf numFmtId="0" fontId="11" fillId="6" borderId="29" applyAlignment="1" pivotButton="0" quotePrefix="0" xfId="0">
      <alignment vertical="top" wrapText="1"/>
    </xf>
    <xf numFmtId="0" fontId="3" fillId="6" borderId="4" applyAlignment="1" pivotButton="0" quotePrefix="0" xfId="0">
      <alignment vertical="center" wrapText="1"/>
    </xf>
    <xf numFmtId="0" fontId="3" fillId="6" borderId="5" applyAlignment="1" pivotButton="0" quotePrefix="0" xfId="0">
      <alignment vertical="center" wrapText="1"/>
    </xf>
    <xf numFmtId="0" fontId="3" fillId="6" borderId="6" applyAlignment="1" pivotButton="0" quotePrefix="0" xfId="0">
      <alignment vertical="center" wrapText="1"/>
    </xf>
    <xf numFmtId="0" fontId="3" fillId="6" borderId="26" applyAlignment="1" pivotButton="0" quotePrefix="0" xfId="0">
      <alignment vertical="center" wrapText="1"/>
    </xf>
    <xf numFmtId="0" fontId="3" fillId="6" borderId="27" applyAlignment="1" pivotButton="0" quotePrefix="0" xfId="0">
      <alignment vertical="center" wrapText="1"/>
    </xf>
    <xf numFmtId="0" fontId="3" fillId="6" borderId="28" applyAlignment="1" pivotButton="0" quotePrefix="0" xfId="0">
      <alignment vertical="center" wrapText="1"/>
    </xf>
    <xf numFmtId="0" fontId="13" fillId="6" borderId="4" applyAlignment="1" pivotButton="0" quotePrefix="0" xfId="0">
      <alignment vertical="center" wrapText="1"/>
    </xf>
    <xf numFmtId="0" fontId="13" fillId="6" borderId="5" applyAlignment="1" pivotButton="0" quotePrefix="0" xfId="0">
      <alignment vertical="center" wrapText="1"/>
    </xf>
    <xf numFmtId="0" fontId="13" fillId="6" borderId="6" applyAlignment="1" pivotButton="0" quotePrefix="0" xfId="0">
      <alignment vertical="center" wrapText="1"/>
    </xf>
    <xf numFmtId="0" fontId="13" fillId="6" borderId="26" applyAlignment="1" pivotButton="0" quotePrefix="0" xfId="0">
      <alignment vertical="center" wrapText="1"/>
    </xf>
    <xf numFmtId="0" fontId="13" fillId="6" borderId="27" applyAlignment="1" pivotButton="0" quotePrefix="0" xfId="0">
      <alignment vertical="center" wrapText="1"/>
    </xf>
    <xf numFmtId="0" fontId="13" fillId="6" borderId="28" applyAlignment="1" pivotButton="0" quotePrefix="0" xfId="0">
      <alignment vertical="center" wrapText="1"/>
    </xf>
    <xf numFmtId="0" fontId="13" fillId="6" borderId="4" applyAlignment="1" pivotButton="0" quotePrefix="0" xfId="0">
      <alignment vertical="top" wrapText="1"/>
    </xf>
    <xf numFmtId="0" fontId="13" fillId="6" borderId="5" applyAlignment="1" pivotButton="0" quotePrefix="0" xfId="0">
      <alignment vertical="top" wrapText="1"/>
    </xf>
    <xf numFmtId="0" fontId="13" fillId="6" borderId="6" applyAlignment="1" pivotButton="0" quotePrefix="0" xfId="0">
      <alignment vertical="top" wrapText="1"/>
    </xf>
    <xf numFmtId="0" fontId="13" fillId="6" borderId="26" applyAlignment="1" pivotButton="0" quotePrefix="0" xfId="0">
      <alignment vertical="top" wrapText="1"/>
    </xf>
    <xf numFmtId="0" fontId="13" fillId="6" borderId="27" applyAlignment="1" pivotButton="0" quotePrefix="0" xfId="0">
      <alignment vertical="top" wrapText="1"/>
    </xf>
    <xf numFmtId="0" fontId="13" fillId="6" borderId="28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5" fillId="2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5" fillId="2" borderId="42" applyAlignment="1" pivotButton="0" quotePrefix="0" xfId="0">
      <alignment horizontal="center" vertical="top" wrapText="1"/>
    </xf>
    <xf numFmtId="0" fontId="0" fillId="0" borderId="25" applyAlignment="1" pivotButton="0" quotePrefix="0" xfId="0">
      <alignment vertical="top" wrapText="1"/>
    </xf>
    <xf numFmtId="0" fontId="3" fillId="2" borderId="4" applyAlignment="1" pivotButton="0" quotePrefix="0" xfId="0">
      <alignment vertical="center"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3" fillId="2" borderId="6" applyAlignment="1" pivotButton="0" quotePrefix="0" xfId="0">
      <alignment vertical="center" wrapText="1"/>
    </xf>
    <xf numFmtId="0" fontId="2" fillId="4" borderId="13" applyAlignment="1" pivotButton="0" quotePrefix="0" xfId="0">
      <alignment vertical="top" wrapText="1"/>
    </xf>
    <xf numFmtId="0" fontId="2" fillId="4" borderId="14" applyAlignment="1" pivotButton="0" quotePrefix="0" xfId="0">
      <alignment vertical="top" wrapText="1"/>
    </xf>
    <xf numFmtId="0" fontId="2" fillId="4" borderId="15" applyAlignment="1" pivotButton="0" quotePrefix="0" xfId="0">
      <alignment vertical="top" wrapText="1"/>
    </xf>
    <xf numFmtId="0" fontId="2" fillId="4" borderId="16" applyAlignment="1" pivotButton="0" quotePrefix="0" xfId="0">
      <alignment vertical="top" wrapText="1"/>
    </xf>
    <xf numFmtId="0" fontId="2" fillId="4" borderId="17" applyAlignment="1" pivotButton="0" quotePrefix="0" xfId="0">
      <alignment vertical="top" wrapText="1"/>
    </xf>
    <xf numFmtId="0" fontId="2" fillId="4" borderId="18" applyAlignment="1" pivotButton="0" quotePrefix="0" xfId="0">
      <alignment vertical="top" wrapText="1"/>
    </xf>
    <xf numFmtId="0" fontId="2" fillId="4" borderId="19" applyAlignment="1" pivotButton="0" quotePrefix="0" xfId="0">
      <alignment vertical="top" wrapText="1"/>
    </xf>
    <xf numFmtId="0" fontId="2" fillId="4" borderId="20" applyAlignment="1" pivotButton="0" quotePrefix="0" xfId="0">
      <alignment vertical="top" wrapText="1"/>
    </xf>
    <xf numFmtId="0" fontId="2" fillId="4" borderId="21" applyAlignment="1" pivotButton="0" quotePrefix="0" xfId="0">
      <alignment vertical="top" wrapText="1"/>
    </xf>
    <xf numFmtId="0" fontId="0" fillId="0" borderId="43" applyAlignment="1" pivotButton="0" quotePrefix="0" xfId="0">
      <alignment wrapText="1"/>
    </xf>
    <xf numFmtId="0" fontId="0" fillId="0" borderId="44" applyAlignment="1" pivotButton="0" quotePrefix="0" xfId="0">
      <alignment wrapText="1"/>
    </xf>
    <xf numFmtId="0" fontId="3" fillId="2" borderId="4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3" fillId="2" borderId="6" applyAlignment="1" pivotButton="0" quotePrefix="0" xfId="0">
      <alignment vertical="top" wrapText="1"/>
    </xf>
    <xf numFmtId="0" fontId="3" fillId="2" borderId="26" applyAlignment="1" pivotButton="0" quotePrefix="0" xfId="0">
      <alignment vertical="top" wrapText="1"/>
    </xf>
    <xf numFmtId="0" fontId="0" fillId="0" borderId="43" applyAlignment="1" pivotButton="0" quotePrefix="0" xfId="0">
      <alignment vertical="top" wrapText="1"/>
    </xf>
    <xf numFmtId="0" fontId="0" fillId="0" borderId="44" applyAlignment="1" pivotButton="0" quotePrefix="0" xfId="0">
      <alignment vertical="top" wrapText="1"/>
    </xf>
    <xf numFmtId="0" fontId="3" fillId="2" borderId="28" applyAlignment="1" pivotButton="0" quotePrefix="0" xfId="0">
      <alignment vertical="top" wrapText="1"/>
    </xf>
    <xf numFmtId="0" fontId="3" fillId="2" borderId="5" applyAlignment="1" pivotButton="0" quotePrefix="0" xfId="0">
      <alignment vertical="center" wrapText="1"/>
    </xf>
    <xf numFmtId="0" fontId="3" fillId="2" borderId="5" applyAlignment="1" pivotButton="0" quotePrefix="0" xfId="0">
      <alignment vertical="top" wrapText="1"/>
    </xf>
    <xf numFmtId="0" fontId="3" fillId="2" borderId="27" applyAlignment="1" pivotButton="0" quotePrefix="0" xfId="0">
      <alignment vertical="top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top" wrapText="1"/>
    </xf>
    <xf numFmtId="0" fontId="4" fillId="3" borderId="9" applyAlignment="1" pivotButton="0" quotePrefix="0" xfId="0">
      <alignment horizontal="center" vertical="top" wrapText="1"/>
    </xf>
    <xf numFmtId="0" fontId="4" fillId="3" borderId="10" applyAlignment="1" pivotButton="0" quotePrefix="0" xfId="0">
      <alignment horizontal="center" vertical="top" wrapText="1"/>
    </xf>
    <xf numFmtId="0" fontId="4" fillId="3" borderId="29" applyAlignment="1" pivotButton="0" quotePrefix="0" xfId="0">
      <alignment horizontal="center" vertical="top" wrapText="1"/>
    </xf>
    <xf numFmtId="0" fontId="4" fillId="3" borderId="30" applyAlignment="1" pivotButton="0" quotePrefix="0" xfId="0">
      <alignment horizontal="center" vertical="top" wrapText="1"/>
    </xf>
    <xf numFmtId="0" fontId="4" fillId="3" borderId="31" applyAlignment="1" pivotButton="0" quotePrefix="0" xfId="0">
      <alignment horizontal="center" vertical="top" wrapText="1"/>
    </xf>
    <xf numFmtId="0" fontId="3" fillId="7" borderId="4" applyAlignment="1" pivotButton="0" quotePrefix="0" xfId="0">
      <alignment vertical="top" wrapText="1"/>
    </xf>
    <xf numFmtId="0" fontId="0" fillId="7" borderId="22" applyAlignment="1" pivotButton="0" quotePrefix="0" xfId="0">
      <alignment vertical="top" wrapText="1"/>
    </xf>
    <xf numFmtId="0" fontId="3" fillId="7" borderId="26" applyAlignment="1" pivotButton="0" quotePrefix="0" xfId="0">
      <alignment vertical="top" wrapText="1"/>
    </xf>
    <xf numFmtId="0" fontId="0" fillId="7" borderId="43" applyAlignment="1" pivotButton="0" quotePrefix="0" xfId="0">
      <alignment vertical="top" wrapText="1"/>
    </xf>
    <xf numFmtId="0" fontId="14" fillId="7" borderId="22" applyAlignment="1" pivotButton="0" quotePrefix="0" xfId="0">
      <alignment vertical="top" wrapText="1"/>
    </xf>
    <xf numFmtId="0" fontId="14" fillId="7" borderId="43" applyAlignment="1" pivotButton="0" quotePrefix="0" xfId="0">
      <alignment vertical="top" wrapText="1"/>
    </xf>
    <xf numFmtId="0" fontId="4" fillId="6" borderId="8" applyAlignment="1" pivotButton="0" quotePrefix="0" xfId="0">
      <alignment horizontal="center" vertical="top" wrapText="1"/>
    </xf>
    <xf numFmtId="0" fontId="4" fillId="6" borderId="9" applyAlignment="1" pivotButton="0" quotePrefix="0" xfId="0">
      <alignment horizontal="center" vertical="top" wrapText="1"/>
    </xf>
    <xf numFmtId="0" fontId="2" fillId="6" borderId="13" applyAlignment="1" pivotButton="0" quotePrefix="0" xfId="0">
      <alignment vertical="top" wrapText="1"/>
    </xf>
    <xf numFmtId="0" fontId="2" fillId="6" borderId="14" applyAlignment="1" pivotButton="0" quotePrefix="0" xfId="0">
      <alignment vertical="top" wrapText="1"/>
    </xf>
    <xf numFmtId="0" fontId="2" fillId="6" borderId="16" applyAlignment="1" pivotButton="0" quotePrefix="0" xfId="0">
      <alignment vertical="top" wrapText="1"/>
    </xf>
    <xf numFmtId="0" fontId="2" fillId="6" borderId="17" applyAlignment="1" pivotButton="0" quotePrefix="0" xfId="0">
      <alignment vertical="top" wrapText="1"/>
    </xf>
    <xf numFmtId="0" fontId="4" fillId="6" borderId="29" applyAlignment="1" pivotButton="0" quotePrefix="0" xfId="0">
      <alignment horizontal="center" vertical="top" wrapText="1"/>
    </xf>
    <xf numFmtId="0" fontId="4" fillId="6" borderId="30" applyAlignment="1" pivotButton="0" quotePrefix="0" xfId="0">
      <alignment horizontal="center" vertical="top" wrapText="1"/>
    </xf>
    <xf numFmtId="0" fontId="2" fillId="6" borderId="32" applyAlignment="1" pivotButton="0" quotePrefix="0" xfId="0">
      <alignment vertical="top" wrapText="1"/>
    </xf>
    <xf numFmtId="0" fontId="2" fillId="6" borderId="33" applyAlignment="1" pivotButton="0" quotePrefix="0" xfId="0">
      <alignment vertical="top" wrapText="1"/>
    </xf>
    <xf numFmtId="0" fontId="2" fillId="6" borderId="35" applyAlignment="1" pivotButton="0" quotePrefix="0" xfId="0">
      <alignment vertical="top" wrapText="1"/>
    </xf>
    <xf numFmtId="0" fontId="2" fillId="6" borderId="36" applyAlignment="1" pivotButton="0" quotePrefix="0" xfId="0">
      <alignment vertical="top" wrapText="1"/>
    </xf>
    <xf numFmtId="0" fontId="12" fillId="6" borderId="13" applyAlignment="1" pivotButton="0" quotePrefix="0" xfId="0">
      <alignment vertical="top" wrapText="1"/>
    </xf>
    <xf numFmtId="0" fontId="12" fillId="6" borderId="14" applyAlignment="1" pivotButton="0" quotePrefix="0" xfId="0">
      <alignment vertical="top" wrapText="1"/>
    </xf>
    <xf numFmtId="0" fontId="12" fillId="6" borderId="16" applyAlignment="1" pivotButton="0" quotePrefix="0" xfId="0">
      <alignment vertical="top" wrapText="1"/>
    </xf>
    <xf numFmtId="0" fontId="12" fillId="6" borderId="17" applyAlignment="1" pivotButton="0" quotePrefix="0" xfId="0">
      <alignment vertical="top" wrapText="1"/>
    </xf>
    <xf numFmtId="0" fontId="12" fillId="6" borderId="32" applyAlignment="1" pivotButton="0" quotePrefix="0" xfId="0">
      <alignment vertical="top" wrapText="1"/>
    </xf>
    <xf numFmtId="0" fontId="12" fillId="6" borderId="33" applyAlignment="1" pivotButton="0" quotePrefix="0" xfId="0">
      <alignment vertical="top" wrapText="1"/>
    </xf>
    <xf numFmtId="0" fontId="12" fillId="6" borderId="35" applyAlignment="1" pivotButton="0" quotePrefix="0" xfId="0">
      <alignment vertical="top" wrapText="1"/>
    </xf>
    <xf numFmtId="0" fontId="12" fillId="6" borderId="36" applyAlignment="1" pivotButton="0" quotePrefix="0" xfId="0">
      <alignment vertical="top" wrapText="1"/>
    </xf>
    <xf numFmtId="0" fontId="12" fillId="7" borderId="8" applyAlignment="1" pivotButton="0" quotePrefix="0" xfId="0">
      <alignment horizontal="center" vertical="top" wrapText="1"/>
    </xf>
    <xf numFmtId="0" fontId="12" fillId="7" borderId="13" applyAlignment="1" pivotButton="0" quotePrefix="0" xfId="0">
      <alignment vertical="top" wrapText="1"/>
    </xf>
    <xf numFmtId="0" fontId="12" fillId="7" borderId="16" applyAlignment="1" pivotButton="0" quotePrefix="0" xfId="0">
      <alignment vertical="top" wrapText="1"/>
    </xf>
    <xf numFmtId="0" fontId="12" fillId="7" borderId="29" applyAlignment="1" pivotButton="0" quotePrefix="0" xfId="0">
      <alignment horizontal="center" vertical="top" wrapText="1"/>
    </xf>
    <xf numFmtId="0" fontId="12" fillId="7" borderId="32" applyAlignment="1" pivotButton="0" quotePrefix="0" xfId="0">
      <alignment vertical="top" wrapText="1"/>
    </xf>
    <xf numFmtId="0" fontId="12" fillId="7" borderId="35" applyAlignment="1" pivotButton="0" quotePrefix="0" xfId="0">
      <alignment vertical="top" wrapText="1"/>
    </xf>
    <xf numFmtId="0" fontId="12" fillId="7" borderId="9" applyAlignment="1" pivotButton="0" quotePrefix="0" xfId="0">
      <alignment horizontal="center" vertical="top" wrapText="1"/>
    </xf>
    <xf numFmtId="0" fontId="12" fillId="7" borderId="14" applyAlignment="1" pivotButton="0" quotePrefix="0" xfId="0">
      <alignment vertical="top" wrapText="1"/>
    </xf>
    <xf numFmtId="0" fontId="12" fillId="7" borderId="17" applyAlignment="1" pivotButton="0" quotePrefix="0" xfId="0">
      <alignment vertical="top" wrapText="1"/>
    </xf>
    <xf numFmtId="0" fontId="12" fillId="7" borderId="30" applyAlignment="1" pivotButton="0" quotePrefix="0" xfId="0">
      <alignment horizontal="center" vertical="top" wrapText="1"/>
    </xf>
    <xf numFmtId="0" fontId="12" fillId="7" borderId="33" applyAlignment="1" pivotButton="0" quotePrefix="0" xfId="0">
      <alignment vertical="top" wrapText="1"/>
    </xf>
    <xf numFmtId="0" fontId="12" fillId="7" borderId="36" applyAlignment="1" pivotButton="0" quotePrefix="0" xfId="0">
      <alignment vertical="top" wrapText="1"/>
    </xf>
    <xf numFmtId="0" fontId="1" fillId="8" borderId="2" applyAlignment="1" pivotButton="0" quotePrefix="0" xfId="0">
      <alignment vertical="top" wrapText="1"/>
    </xf>
    <xf numFmtId="0" fontId="1" fillId="8" borderId="41" applyAlignment="1" pivotButton="0" quotePrefix="0" xfId="0">
      <alignment vertical="top" wrapText="1"/>
    </xf>
    <xf numFmtId="0" fontId="15" fillId="8" borderId="2" applyAlignment="1" pivotButton="0" quotePrefix="0" xfId="0">
      <alignment vertical="top" wrapText="1"/>
    </xf>
    <xf numFmtId="0" fontId="15" fillId="8" borderId="41" applyAlignment="1" pivotButton="0" quotePrefix="0" xfId="0">
      <alignment vertical="top" wrapText="1"/>
    </xf>
    <xf numFmtId="0" fontId="1" fillId="9" borderId="2" applyAlignment="1" pivotButton="0" quotePrefix="0" xfId="0">
      <alignment vertical="top" wrapText="1"/>
    </xf>
    <xf numFmtId="0" fontId="1" fillId="9" borderId="41" applyAlignment="1" pivotButton="0" quotePrefix="0" xfId="0">
      <alignment vertical="top" wrapText="1"/>
    </xf>
    <xf numFmtId="0" fontId="15" fillId="9" borderId="2" applyAlignment="1" pivotButton="0" quotePrefix="0" xfId="0">
      <alignment vertical="top" wrapText="1"/>
    </xf>
    <xf numFmtId="0" fontId="15" fillId="9" borderId="41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25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8" pivotButton="0" quotePrefix="0" xfId="0"/>
    <xf numFmtId="0" fontId="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0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11" fillId="7" borderId="0" applyAlignment="1" pivotButton="0" quotePrefix="0" xfId="0">
      <alignment vertical="top" wrapText="1"/>
    </xf>
    <xf numFmtId="0" fontId="4" fillId="7" borderId="8" applyAlignment="1" pivotButton="0" quotePrefix="0" xfId="0">
      <alignment horizontal="center" vertical="top" wrapText="1"/>
    </xf>
    <xf numFmtId="0" fontId="4" fillId="7" borderId="9" applyAlignment="1" pivotButton="0" quotePrefix="0" xfId="0">
      <alignment horizontal="center" vertical="top" wrapText="1"/>
    </xf>
    <xf numFmtId="0" fontId="4" fillId="7" borderId="10" applyAlignment="1" pivotButton="0" quotePrefix="0" xfId="0">
      <alignment horizontal="center" vertical="top" wrapText="1"/>
    </xf>
    <xf numFmtId="0" fontId="12" fillId="7" borderId="10" applyAlignment="1" pivotButton="0" quotePrefix="0" xfId="0">
      <alignment horizontal="center" vertical="top" wrapText="1"/>
    </xf>
    <xf numFmtId="0" fontId="13" fillId="7" borderId="4" applyAlignment="1" pivotButton="0" quotePrefix="0" xfId="0">
      <alignment vertical="top" wrapText="1"/>
    </xf>
    <xf numFmtId="0" fontId="13" fillId="7" borderId="5" applyAlignment="1" pivotButton="0" quotePrefix="0" xfId="0">
      <alignment vertical="top" wrapText="1"/>
    </xf>
    <xf numFmtId="0" fontId="13" fillId="7" borderId="6" applyAlignment="1" pivotButton="0" quotePrefix="0" xfId="0">
      <alignment vertical="top" wrapText="1"/>
    </xf>
    <xf numFmtId="0" fontId="10" fillId="11" borderId="1" applyAlignment="1" pivotButton="0" quotePrefix="0" xfId="0">
      <alignment horizontal="center" vertical="top" wrapText="1"/>
    </xf>
    <xf numFmtId="0" fontId="0" fillId="12" borderId="0" applyAlignment="1" pivotButton="0" quotePrefix="0" xfId="0">
      <alignment vertical="top" wrapText="1"/>
    </xf>
    <xf numFmtId="0" fontId="0" fillId="12" borderId="0" pivotButton="0" quotePrefix="0" xfId="0"/>
    <xf numFmtId="0" fontId="16" fillId="12" borderId="0" applyAlignment="1" pivotButton="0" quotePrefix="0" xfId="0">
      <alignment vertical="top" wrapText="1"/>
    </xf>
    <xf numFmtId="0" fontId="16" fillId="12" borderId="0" pivotButton="0" quotePrefix="0" xfId="0"/>
    <xf numFmtId="0" fontId="3" fillId="11" borderId="4" applyAlignment="1" pivotButton="0" quotePrefix="0" xfId="0">
      <alignment vertical="top" wrapText="1"/>
    </xf>
    <xf numFmtId="0" fontId="0" fillId="11" borderId="22" applyAlignment="1" pivotButton="0" quotePrefix="0" xfId="0">
      <alignment vertical="top" wrapText="1"/>
    </xf>
    <xf numFmtId="0" fontId="0" fillId="11" borderId="23" applyAlignment="1" pivotButton="0" quotePrefix="0" xfId="0">
      <alignment vertical="top" wrapText="1"/>
    </xf>
    <xf numFmtId="0" fontId="3" fillId="11" borderId="5" applyAlignment="1" pivotButton="0" quotePrefix="0" xfId="0">
      <alignment vertical="top" wrapText="1"/>
    </xf>
    <xf numFmtId="0" fontId="3" fillId="11" borderId="6" applyAlignment="1" pivotButton="0" quotePrefix="0" xfId="0">
      <alignment vertical="top" wrapText="1"/>
    </xf>
    <xf numFmtId="0" fontId="16" fillId="11" borderId="22" applyAlignment="1" pivotButton="0" quotePrefix="0" xfId="0">
      <alignment vertical="top" wrapText="1"/>
    </xf>
    <xf numFmtId="0" fontId="16" fillId="11" borderId="23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0" fillId="11" borderId="0" pivotButton="0" quotePrefix="0" xfId="0"/>
    <xf numFmtId="0" fontId="16" fillId="11" borderId="0" pivotButton="0" quotePrefix="0" xfId="0"/>
    <xf numFmtId="0" fontId="0" fillId="11" borderId="0" applyAlignment="1" pivotButton="0" quotePrefix="0" xfId="0">
      <alignment vertical="top" wrapText="1"/>
    </xf>
    <xf numFmtId="0" fontId="16" fillId="11" borderId="0" applyAlignment="1" pivotButton="0" quotePrefix="0" xfId="0">
      <alignment vertical="top" wrapText="1"/>
    </xf>
    <xf numFmtId="0" fontId="13" fillId="11" borderId="4" applyAlignment="1" pivotButton="0" quotePrefix="0" xfId="0">
      <alignment vertical="top" wrapText="1"/>
    </xf>
    <xf numFmtId="0" fontId="13" fillId="11" borderId="5" applyAlignment="1" pivotButton="0" quotePrefix="0" xfId="0">
      <alignment vertical="top" wrapText="1"/>
    </xf>
    <xf numFmtId="0" fontId="13" fillId="11" borderId="6" applyAlignment="1" pivotButton="0" quotePrefix="0" xfId="0">
      <alignment vertical="top" wrapText="1"/>
    </xf>
    <xf numFmtId="0" fontId="14" fillId="11" borderId="22" applyAlignment="1" pivotButton="0" quotePrefix="0" xfId="0">
      <alignment vertical="top" wrapText="1"/>
    </xf>
    <xf numFmtId="0" fontId="16" fillId="11" borderId="0" applyAlignment="1" pivotButton="0" quotePrefix="0" xfId="0">
      <alignment wrapText="1"/>
    </xf>
    <xf numFmtId="0" fontId="3" fillId="11" borderId="26" applyAlignment="1" pivotButton="0" quotePrefix="0" xfId="0">
      <alignment vertical="top" wrapText="1"/>
    </xf>
    <xf numFmtId="0" fontId="17" fillId="13" borderId="50" applyAlignment="1" pivotButton="0" quotePrefix="0" xfId="0">
      <alignment vertical="center" wrapText="1"/>
    </xf>
    <xf numFmtId="0" fontId="18" fillId="0" borderId="50" pivotButton="0" quotePrefix="0" xfId="0"/>
    <xf numFmtId="0" fontId="19" fillId="14" borderId="51" applyAlignment="1" pivotButton="0" quotePrefix="0" xfId="0">
      <alignment vertical="center" wrapText="1"/>
    </xf>
    <xf numFmtId="0" fontId="20" fillId="0" borderId="52" applyAlignment="1" pivotButton="0" quotePrefix="0" xfId="0">
      <alignment vertical="top" wrapText="1"/>
    </xf>
    <xf numFmtId="0" fontId="17" fillId="13" borderId="50" pivotButton="0" quotePrefix="0" xfId="0"/>
    <xf numFmtId="0" fontId="21" fillId="14" borderId="51" pivotButton="0" quotePrefix="0" xfId="0"/>
    <xf numFmtId="0" fontId="22" fillId="0" borderId="52" pivotButton="0" quotePrefix="0" xfId="0"/>
    <xf numFmtId="0" fontId="23" fillId="7" borderId="0" applyAlignment="1" pivotButton="0" quotePrefix="0" xfId="0">
      <alignment vertical="top" wrapText="1"/>
    </xf>
    <xf numFmtId="0" fontId="23" fillId="16" borderId="26" applyAlignment="1" pivotButton="0" quotePrefix="0" xfId="0">
      <alignment vertical="top" wrapText="1"/>
    </xf>
    <xf numFmtId="0" fontId="23" fillId="16" borderId="43" applyAlignment="1" pivotButton="0" quotePrefix="0" xfId="0">
      <alignment vertical="top" wrapText="1"/>
    </xf>
    <xf numFmtId="0" fontId="23" fillId="16" borderId="44" applyAlignment="1" pivotButton="0" quotePrefix="0" xfId="0">
      <alignment vertical="top" wrapText="1"/>
    </xf>
    <xf numFmtId="0" fontId="23" fillId="16" borderId="0" applyAlignment="1" pivotButton="0" quotePrefix="0" xfId="0">
      <alignment vertical="top" wrapText="1"/>
    </xf>
    <xf numFmtId="0" fontId="12" fillId="7" borderId="8" applyAlignment="1" pivotButton="0" quotePrefix="0" xfId="0">
      <alignment vertical="top" wrapText="1"/>
    </xf>
    <xf numFmtId="0" fontId="12" fillId="6" borderId="9" applyAlignment="1" pivotButton="0" quotePrefix="0" xfId="0">
      <alignment vertical="top" wrapText="1"/>
    </xf>
    <xf numFmtId="0" fontId="12" fillId="7" borderId="9" applyAlignment="1" pivotButton="0" quotePrefix="0" xfId="0">
      <alignment vertical="top" wrapText="1"/>
    </xf>
    <xf numFmtId="0" fontId="4" fillId="3" borderId="10" applyAlignment="1" pivotButton="0" quotePrefix="0" xfId="0">
      <alignment vertical="top" wrapText="1"/>
    </xf>
    <xf numFmtId="0" fontId="0" fillId="1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3" fillId="16" borderId="5" applyAlignment="1" pivotButton="0" quotePrefix="0" xfId="0">
      <alignment vertical="top" wrapText="1"/>
    </xf>
    <xf numFmtId="0" fontId="23" fillId="16" borderId="6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2" fillId="6" borderId="30" applyAlignment="1" pivotButton="0" quotePrefix="0" xfId="0">
      <alignment vertical="top" wrapText="1"/>
    </xf>
    <xf numFmtId="0" fontId="0" fillId="0" borderId="45" applyAlignment="1" pivotButton="0" quotePrefix="0" xfId="0">
      <alignment vertical="top" wrapText="1"/>
    </xf>
    <xf numFmtId="0" fontId="0" fillId="0" borderId="29" applyAlignment="1" pivotButton="0" quotePrefix="0" xfId="0">
      <alignment vertical="top" wrapText="1"/>
    </xf>
    <xf numFmtId="0" fontId="12" fillId="6" borderId="10" applyAlignment="1" pivotButton="0" quotePrefix="0" xfId="0">
      <alignment vertical="top" wrapText="1"/>
    </xf>
    <xf numFmtId="0" fontId="12" fillId="7" borderId="1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4" fillId="3" borderId="9" applyAlignment="1" pivotButton="0" quotePrefix="0" xfId="0">
      <alignment vertical="top" wrapText="1"/>
    </xf>
    <xf numFmtId="0" fontId="4" fillId="7" borderId="8" applyAlignment="1" pivotButton="0" quotePrefix="0" xfId="0">
      <alignment vertical="top" wrapText="1"/>
    </xf>
    <xf numFmtId="0" fontId="4" fillId="7" borderId="9" applyAlignment="1" pivotButton="0" quotePrefix="0" xfId="0">
      <alignment vertical="top" wrapText="1"/>
    </xf>
    <xf numFmtId="0" fontId="4" fillId="7" borderId="10" applyAlignment="1" pivotButton="0" quotePrefix="0" xfId="0">
      <alignment vertical="top" wrapText="1"/>
    </xf>
    <xf numFmtId="0" fontId="23" fillId="16" borderId="4" applyAlignment="1" pivotButton="0" quotePrefix="0" xfId="0">
      <alignment vertical="top" wrapText="1"/>
    </xf>
    <xf numFmtId="0" fontId="23" fillId="16" borderId="1" applyAlignment="1" pivotButton="0" quotePrefix="0" xfId="0">
      <alignment vertical="top" wrapText="1"/>
    </xf>
    <xf numFmtId="0" fontId="23" fillId="16" borderId="50" applyAlignment="1" pivotButton="0" quotePrefix="0" xfId="0">
      <alignment vertical="top" wrapText="1"/>
    </xf>
    <xf numFmtId="0" fontId="18" fillId="0" borderId="50" applyAlignment="1" pivotButton="0" quotePrefix="0" xfId="0">
      <alignment vertical="top" wrapText="1"/>
    </xf>
    <xf numFmtId="0" fontId="19" fillId="14" borderId="51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21" fillId="14" borderId="51" applyAlignment="1" pivotButton="0" quotePrefix="0" xfId="0">
      <alignment vertical="top" wrapText="1"/>
    </xf>
    <xf numFmtId="0" fontId="22" fillId="0" borderId="52" applyAlignment="1" pivotButton="0" quotePrefix="0" xfId="0">
      <alignment vertical="top" wrapText="1"/>
    </xf>
  </cellXfs>
  <cellStyles count="1">
    <cellStyle name="Normal" xfId="0"/>
  </cellStyles>
  <dxfs count="86">
    <dxf>
      <font>
        <b val="1"/>
        <color rgb="FF3730A3"/>
      </font>
      <fill>
        <patternFill>
          <bgColor rgb="FFE0E7FF"/>
        </patternFill>
      </fill>
    </dxf>
    <dxf>
      <font>
        <b val="1"/>
        <color rgb="FF374151"/>
      </font>
      <fill>
        <patternFill>
          <bgColor rgb="FFF3F4F6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374151"/>
      </font>
      <fill>
        <patternFill>
          <bgColor rgb="FFF3F4F6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374151"/>
      </font>
      <fill>
        <patternFill>
          <bgColor rgb="FFF3F4F6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B45309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90000"/>
      </font>
      <fill>
        <patternFill>
          <bgColor rgb="FFF4CCC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27632A"/>
      </font>
      <fill>
        <patternFill>
          <bgColor rgb="FFD9EAD3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B45309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374151"/>
      </font>
      <fill>
        <patternFill>
          <bgColor rgb="FFF3F4F6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90000"/>
      </font>
      <fill>
        <patternFill>
          <bgColor rgb="FFF4CCC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27632A"/>
      </font>
      <fill>
        <patternFill>
          <bgColor rgb="FFD9EAD3"/>
        </patternFill>
      </fill>
    </dxf>
    <dxf>
      <font>
        <b val="1"/>
        <color rgb="FF990000"/>
      </font>
      <fill>
        <patternFill>
          <bgColor rgb="FFF4CCC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27632A"/>
      </font>
      <fill>
        <patternFill>
          <bgColor rgb="FFD9EAD3"/>
        </patternFill>
      </fill>
    </dxf>
    <dxf>
      <font>
        <color rgb="FF6B7280"/>
      </font>
      <fill>
        <patternFill>
          <bgColor rgb="FFF3F4F6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374151"/>
      </font>
      <fill>
        <patternFill>
          <bgColor rgb="FFF3F4F6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B91C1C"/>
      </font>
      <fill>
        <patternFill>
          <bgColor rgb="FFFEE2E2"/>
        </patternFill>
      </fill>
    </dxf>
    <dxf>
      <font>
        <b val="1"/>
        <color rgb="FFB45309"/>
      </font>
      <fill>
        <patternFill>
          <bgColor rgb="FFFDE68A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90000"/>
      </font>
      <fill>
        <patternFill>
          <bgColor rgb="FFF4CCCC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27632A"/>
      </font>
      <fill>
        <patternFill>
          <bgColor rgb="FFD9EAD3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374151"/>
      </font>
      <fill>
        <patternFill>
          <bgColor rgb="FFF3F4F6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3730A3"/>
      </font>
      <fill>
        <patternFill>
          <bgColor rgb="FFE0E7FF"/>
        </patternFill>
      </fill>
    </dxf>
    <dxf>
      <font>
        <b val="1"/>
        <color rgb="FF374151"/>
      </font>
      <fill>
        <patternFill>
          <bgColor rgb="FFF3F4F6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1D4ED8"/>
      </font>
      <fill>
        <patternFill>
          <bgColor rgb="FFDBEAFE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b val="1"/>
        <color rgb="FF166534"/>
      </font>
      <fill>
        <patternFill>
          <bgColor rgb="FFDCF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E68A"/>
      <rgbColor rgb="FFFF00FF"/>
      <rgbColor rgb="FF00FFFF"/>
      <rgbColor rgb="FF990000"/>
      <rgbColor rgb="FF166534"/>
      <rgbColor rgb="FF000080"/>
      <rgbColor rgb="FF7F6000"/>
      <rgbColor rgb="FF800080"/>
      <rgbColor rgb="FF008080"/>
      <rgbColor rgb="FFE5E7EB"/>
      <rgbColor rgb="FF808080"/>
      <rgbColor rgb="FF9999FF"/>
      <rgbColor rgb="FFB45309"/>
      <rgbColor rgb="FFFEF3C7"/>
      <rgbColor rgb="FFDCFCE7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D9EAD3"/>
      <rgbColor rgb="FFFFF2CC"/>
      <rgbColor rgb="FFEDE9FE"/>
      <rgbColor rgb="FFFEE2E2"/>
      <rgbColor rgb="FFF3F4F6"/>
      <rgbColor rgb="FFF4CCCC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111827"/>
      <rgbColor rgb="FF27632A"/>
      <rgbColor rgb="FFB91C1C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213" min="1" max="1"/>
    <col width="10" customWidth="1" style="213" min="2" max="2"/>
    <col width="10" customWidth="1" style="213" min="3" max="3"/>
    <col width="14" customWidth="1" style="213" min="4" max="4"/>
    <col width="16" customWidth="1" style="213" min="5" max="5"/>
    <col width="48" customWidth="1" style="213" min="6" max="6"/>
    <col width="48" customWidth="1" style="213" min="7" max="7"/>
  </cols>
  <sheetData>
    <row r="1">
      <c r="A1" s="262" t="inlineStr">
        <is>
          <t>Worksheet</t>
        </is>
      </c>
      <c r="B1" s="262" t="inlineStr">
        <is>
          <t>Rows</t>
        </is>
      </c>
      <c r="C1" s="262" t="inlineStr">
        <is>
          <t>Columns</t>
        </is>
      </c>
      <c r="D1" s="262" t="inlineStr">
        <is>
          <t>Cells Scanned</t>
        </is>
      </c>
      <c r="E1" s="262" t="inlineStr">
        <is>
          <t>Update Needed?</t>
        </is>
      </c>
      <c r="F1" s="262" t="inlineStr">
        <is>
          <t>Changes Applied</t>
        </is>
      </c>
      <c r="G1" s="262" t="inlineStr">
        <is>
          <t>Evidence/Reason</t>
        </is>
      </c>
    </row>
    <row r="2">
      <c r="A2" s="126" t="inlineStr">
        <is>
          <t>LEDGER_RECONCILIATION_AUDIT</t>
        </is>
      </c>
      <c r="B2" s="126" t="n">
        <v>1</v>
      </c>
      <c r="C2" s="126" t="n">
        <v>7</v>
      </c>
      <c r="D2" s="126" t="n">
        <v>7</v>
      </c>
      <c r="E2" s="126" t="inlineStr">
        <is>
          <t>NO</t>
        </is>
      </c>
      <c r="F2" s="126" t="inlineStr">
        <is>
          <t>Reviewed; no specific update required.</t>
        </is>
      </c>
      <c r="G2" s="126" t="inlineStr">
        <is>
          <t>Recent uploaded evidence and current workbook state reconciliation.</t>
        </is>
      </c>
    </row>
    <row r="3">
      <c r="A3" s="126" t="inlineStr">
        <is>
          <t>README</t>
        </is>
      </c>
      <c r="B3" s="126" t="n">
        <v>138</v>
      </c>
      <c r="C3" s="126" t="n">
        <v>11</v>
      </c>
      <c r="D3" s="126" t="n">
        <v>1518</v>
      </c>
      <c r="E3" s="126" t="inlineStr">
        <is>
          <t>YES</t>
        </is>
      </c>
      <c r="F3" s="126" t="inlineStr">
        <is>
          <t>Appended reconciliation note and audit pointer.</t>
        </is>
      </c>
      <c r="G3" s="126" t="inlineStr">
        <is>
          <t>Recent uploaded evidence and current workbook state reconciliation.</t>
        </is>
      </c>
    </row>
    <row r="4">
      <c r="A4" s="126" t="inlineStr">
        <is>
          <t>Roadmap_System</t>
        </is>
      </c>
      <c r="B4" s="126" t="n">
        <v>236</v>
      </c>
      <c r="C4" s="126" t="n">
        <v>2</v>
      </c>
      <c r="D4" s="126" t="n">
        <v>472</v>
      </c>
      <c r="E4" s="126" t="inlineStr">
        <is>
          <t>YES</t>
        </is>
      </c>
      <c r="F4" s="126" t="inlineStr">
        <is>
          <t>Appended reconciliation addendum for Finding A/B and workbook state.</t>
        </is>
      </c>
      <c r="G4" s="126" t="inlineStr">
        <is>
          <t>Recent uploaded evidence and current workbook state reconciliation.</t>
        </is>
      </c>
    </row>
    <row r="5">
      <c r="A5" s="126" t="inlineStr">
        <is>
          <t>Complete-Partially-Pending</t>
        </is>
      </c>
      <c r="B5" s="126" t="n">
        <v>65</v>
      </c>
      <c r="C5" s="126" t="n">
        <v>13</v>
      </c>
      <c r="D5" s="126" t="n">
        <v>845</v>
      </c>
      <c r="E5" s="126" t="inlineStr">
        <is>
          <t>YES</t>
        </is>
      </c>
      <c r="F5" s="126" t="inlineStr">
        <is>
          <t>Added/updated last-two-days completed/partial/pending rows: Pass1 o3 blocker, env typing, quality RCAs, U2 live-proof statuses.</t>
        </is>
      </c>
      <c r="G5" s="126" t="inlineStr">
        <is>
          <t>Recent uploaded evidence and current workbook state reconciliation.</t>
        </is>
      </c>
    </row>
    <row r="6">
      <c r="A6" s="126" t="inlineStr">
        <is>
          <t>CURRENT_STATE</t>
        </is>
      </c>
      <c r="B6" s="126" t="n">
        <v>43</v>
      </c>
      <c r="C6" s="126" t="n">
        <v>11</v>
      </c>
      <c r="D6" s="126" t="n">
        <v>473</v>
      </c>
      <c r="E6" s="126" t="inlineStr">
        <is>
          <t>YES</t>
        </is>
      </c>
      <c r="F6" s="126" t="inlineStr">
        <is>
          <t>Added explicit QUALITY_STATE, PASS1_O3_BUDGET_BLOCKER, ENV_CONTRACT_TYPING, U2_ENFORCEMENT_SPECS rows.</t>
        </is>
      </c>
      <c r="G6" s="126" t="inlineStr">
        <is>
          <t>Recent uploaded evidence and current workbook state reconciliation.</t>
        </is>
      </c>
    </row>
    <row r="7">
      <c r="A7" s="126" t="inlineStr">
        <is>
          <t>U_GATES_ENFORCEMENT</t>
        </is>
      </c>
      <c r="B7" s="126" t="n">
        <v>31</v>
      </c>
      <c r="C7" s="126" t="n">
        <v>11</v>
      </c>
      <c r="D7" s="126" t="n">
        <v>341</v>
      </c>
      <c r="E7" s="126" t="inlineStr">
        <is>
          <t>YES</t>
        </is>
      </c>
      <c r="F7" s="126" t="inlineStr">
        <is>
          <t>Added acceptance gates and publish-state policy rows.</t>
        </is>
      </c>
      <c r="G7" s="126" t="inlineStr">
        <is>
          <t>Recent uploaded evidence and current workbook state reconciliation.</t>
        </is>
      </c>
    </row>
    <row r="8">
      <c r="A8" s="126" t="inlineStr">
        <is>
          <t>EXECUTION_BLOCK</t>
        </is>
      </c>
      <c r="B8" s="126" t="n">
        <v>24</v>
      </c>
      <c r="C8" s="126" t="n">
        <v>11</v>
      </c>
      <c r="D8" s="126" t="n">
        <v>264</v>
      </c>
      <c r="E8" s="126" t="inlineStr">
        <is>
          <t>YES</t>
        </is>
      </c>
      <c r="F8" s="126" t="inlineStr">
        <is>
          <t>Added corrected execution order: Pass1 strategy first, then read-only trace, then quality RCA batch; env typing parallel.</t>
        </is>
      </c>
      <c r="G8" s="126" t="inlineStr">
        <is>
          <t>Recent uploaded evidence and current workbook state reconciliation.</t>
        </is>
      </c>
    </row>
    <row r="9">
      <c r="A9" s="126" t="inlineStr">
        <is>
          <t>ROADMAP_LANES</t>
        </is>
      </c>
      <c r="B9" s="126" t="n">
        <v>23</v>
      </c>
      <c r="C9" s="126" t="n">
        <v>11</v>
      </c>
      <c r="D9" s="126" t="n">
        <v>253</v>
      </c>
      <c r="E9" s="126" t="inlineStr">
        <is>
          <t>YES</t>
        </is>
      </c>
      <c r="F9" s="126" t="inlineStr">
        <is>
          <t>Added Pass1, quality enforcement, env typing lanes.</t>
        </is>
      </c>
      <c r="G9" s="126" t="inlineStr">
        <is>
          <t>Recent uploaded evidence and current workbook state reconciliation.</t>
        </is>
      </c>
    </row>
    <row r="10">
      <c r="A10" s="126" t="inlineStr">
        <is>
          <t>CANON_CODE_MAP</t>
        </is>
      </c>
      <c r="B10" s="126" t="n">
        <v>29</v>
      </c>
      <c r="C10" s="126" t="n">
        <v>6</v>
      </c>
      <c r="D10" s="126" t="n">
        <v>174</v>
      </c>
      <c r="E10" s="126" t="inlineStr">
        <is>
          <t>YES</t>
        </is>
      </c>
      <c r="F10" s="126" t="inlineStr">
        <is>
          <t>Added invariants for semantic acceptance, confidence authority, output leakage, traceability and Pass1 budget.</t>
        </is>
      </c>
      <c r="G10" s="126" t="inlineStr">
        <is>
          <t>Recent uploaded evidence and current workbook state reconciliation.</t>
        </is>
      </c>
    </row>
    <row r="11">
      <c r="A11" s="126" t="inlineStr">
        <is>
          <t>SOURCE_INDEX</t>
        </is>
      </c>
      <c r="B11" s="126" t="n">
        <v>36</v>
      </c>
      <c r="C11" s="126" t="n">
        <v>5</v>
      </c>
      <c r="D11" s="126" t="n">
        <v>180</v>
      </c>
      <c r="E11" s="126" t="inlineStr">
        <is>
          <t>YES</t>
        </is>
      </c>
      <c r="F11" s="126" t="inlineStr">
        <is>
          <t>Added recent uploaded/conversation evidence sources.</t>
        </is>
      </c>
      <c r="G11" s="126" t="inlineStr">
        <is>
          <t>Recent uploaded evidence and current workbook state reconciliation.</t>
        </is>
      </c>
    </row>
    <row r="12">
      <c r="A12" s="126" t="inlineStr">
        <is>
          <t>ROADMAP_ARCHIVE_KEY</t>
        </is>
      </c>
      <c r="B12" s="126" t="n">
        <v>10</v>
      </c>
      <c r="C12" s="126" t="n">
        <v>8</v>
      </c>
      <c r="D12" s="126" t="n">
        <v>80</v>
      </c>
      <c r="E12" s="126" t="inlineStr">
        <is>
          <t>YES</t>
        </is>
      </c>
      <c r="F12" s="126" t="inlineStr">
        <is>
          <t>Reviewed; no direct row change required beyond workbook authority maintained elsewhere.</t>
        </is>
      </c>
      <c r="G12" s="126" t="inlineStr">
        <is>
          <t>Recent uploaded evidence and current workbook state reconciliation.</t>
        </is>
      </c>
    </row>
    <row r="13">
      <c r="A13" s="126" t="inlineStr">
        <is>
          <t>ROOT_CAUSE_ANALYSIS</t>
        </is>
      </c>
      <c r="B13" s="126" t="n">
        <v>19</v>
      </c>
      <c r="C13" s="126" t="n">
        <v>22</v>
      </c>
      <c r="D13" s="126" t="n">
        <v>418</v>
      </c>
      <c r="E13" s="126" t="inlineStr">
        <is>
          <t>YES</t>
        </is>
      </c>
      <c r="F13" s="126" t="inlineStr">
        <is>
          <t>Updated Pass1 RCA and added env + five quality RCAs.</t>
        </is>
      </c>
      <c r="G13" s="126" t="inlineStr">
        <is>
          <t>Recent uploaded evidence and current workbook state reconciliation.</t>
        </is>
      </c>
    </row>
    <row r="14">
      <c r="A14" s="126" t="inlineStr">
        <is>
          <t>E2E_SCRIPT_MAP</t>
        </is>
      </c>
      <c r="B14" s="126" t="n">
        <v>19</v>
      </c>
      <c r="C14" s="126" t="n">
        <v>7</v>
      </c>
      <c r="D14" s="126" t="n">
        <v>133</v>
      </c>
      <c r="E14" s="126" t="inlineStr">
        <is>
          <t>YES</t>
        </is>
      </c>
      <c r="F14" s="126" t="inlineStr">
        <is>
          <t>Added E2E-11 quality acceptance and E2E-12 Pass1 budget reachability.</t>
        </is>
      </c>
      <c r="G14" s="126" t="inlineStr">
        <is>
          <t>Recent uploaded evidence and current workbook state reconciliation.</t>
        </is>
      </c>
    </row>
    <row r="15">
      <c r="A15" s="126" t="inlineStr">
        <is>
          <t>RCA_SCRIPT_LINKS</t>
        </is>
      </c>
      <c r="B15" s="126" t="n">
        <v>38</v>
      </c>
      <c r="C15" s="126" t="n">
        <v>11</v>
      </c>
      <c r="D15" s="126" t="n">
        <v>418</v>
      </c>
      <c r="E15" s="126" t="inlineStr">
        <is>
          <t>YES</t>
        </is>
      </c>
      <c r="F15" s="126" t="inlineStr">
        <is>
          <t>Added links for quality RCAs and env typing.</t>
        </is>
      </c>
      <c r="G15" s="126" t="inlineStr">
        <is>
          <t>Recent uploaded evidence and current workbook state reconciliation.</t>
        </is>
      </c>
    </row>
    <row r="16">
      <c r="A16" s="126" t="inlineStr">
        <is>
          <t>RCA_BATCH_PLAN</t>
        </is>
      </c>
      <c r="B16" s="126" t="n">
        <v>26</v>
      </c>
      <c r="C16" s="126" t="n">
        <v>11</v>
      </c>
      <c r="D16" s="126" t="n">
        <v>286</v>
      </c>
      <c r="E16" s="126" t="inlineStr">
        <is>
          <t>YES</t>
        </is>
      </c>
      <c r="F16" s="126" t="inlineStr">
        <is>
          <t>Added batches for quality acceptance, Pass1 strategy and env typing.</t>
        </is>
      </c>
      <c r="G16" s="126" t="inlineStr">
        <is>
          <t>Recent uploaded evidence and current workbook state reconciliation.</t>
        </is>
      </c>
    </row>
    <row r="17">
      <c r="A17" s="126" t="inlineStr">
        <is>
          <t>ENFORCEMENT_SCALE</t>
        </is>
      </c>
      <c r="B17" s="126" t="n">
        <v>22</v>
      </c>
      <c r="C17" s="126" t="n">
        <v>5</v>
      </c>
      <c r="D17" s="126" t="n">
        <v>110</v>
      </c>
      <c r="E17" s="126" t="inlineStr">
        <is>
          <t>YES</t>
        </is>
      </c>
      <c r="F17" s="126" t="inlineStr">
        <is>
          <t>Added LIVE_PROOF_PENDING, READY_FOR_PR, ADVISORY/INVALID/QUALITY_NOT_ENFORCED states.</t>
        </is>
      </c>
      <c r="G17" s="126" t="inlineStr">
        <is>
          <t>Recent uploaded evidence and current workbook state reconciliation.</t>
        </is>
      </c>
    </row>
    <row r="18">
      <c r="A18" s="126" t="inlineStr">
        <is>
          <t>RCA_LINK_MAP</t>
        </is>
      </c>
      <c r="B18" s="126" t="n">
        <v>63</v>
      </c>
      <c r="C18" s="126" t="n">
        <v>11</v>
      </c>
      <c r="D18" s="126" t="n">
        <v>693</v>
      </c>
      <c r="E18" s="126" t="inlineStr">
        <is>
          <t>YES</t>
        </is>
      </c>
      <c r="F18" s="126" t="inlineStr">
        <is>
          <t>Added cross-sheet links for quality RCAs, Pass1 blocker and env typing.</t>
        </is>
      </c>
      <c r="G18" s="126" t="inlineStr">
        <is>
          <t>Recent uploaded evidence and current workbook state reconciliation.</t>
        </is>
      </c>
    </row>
    <row r="19">
      <c r="A19" s="126" t="inlineStr">
        <is>
          <t>VERIFICATION_ARTIFACTS</t>
        </is>
      </c>
      <c r="B19" s="126" t="n">
        <v>8</v>
      </c>
      <c r="C19" s="126" t="n">
        <v>11</v>
      </c>
      <c r="D19" s="126" t="n">
        <v>88</v>
      </c>
      <c r="E19" s="126" t="inlineStr">
        <is>
          <t>YES</t>
        </is>
      </c>
      <c r="F19" s="126" t="inlineStr">
        <is>
          <t>Added PV115 quality failure, Pass1 o3 failure and trace target artifacts.</t>
        </is>
      </c>
      <c r="G19" s="126" t="inlineStr">
        <is>
          <t>Recent uploaded evidence and current workbook state reconciliation.</t>
        </is>
      </c>
    </row>
    <row r="20">
      <c r="A20" s="126" t="inlineStr">
        <is>
          <t>Doctrine</t>
        </is>
      </c>
      <c r="B20" s="126" t="n">
        <v>15</v>
      </c>
      <c r="C20" s="126" t="n">
        <v>4</v>
      </c>
      <c r="D20" s="126" t="n">
        <v>60</v>
      </c>
      <c r="E20" s="126" t="inlineStr">
        <is>
          <t>YES</t>
        </is>
      </c>
      <c r="F20" s="126" t="inlineStr">
        <is>
          <t>Added reconciliation doctrine on pass1 reachability, semantic acceptance and trace rule.</t>
        </is>
      </c>
      <c r="G20" s="126" t="inlineStr">
        <is>
          <t>Recent uploaded evidence and current workbook state reconciliation.</t>
        </is>
      </c>
    </row>
    <row r="21">
      <c r="A21" s="126" t="inlineStr">
        <is>
          <t>Change-Log</t>
        </is>
      </c>
      <c r="B21" s="126" t="n">
        <v>8</v>
      </c>
      <c r="C21" s="126" t="n">
        <v>5</v>
      </c>
      <c r="D21" s="126" t="n">
        <v>40</v>
      </c>
      <c r="E21" s="126" t="inlineStr">
        <is>
          <t>YES</t>
        </is>
      </c>
      <c r="F21" s="126" t="inlineStr">
        <is>
          <t>Appended reconciliation changelog row.</t>
        </is>
      </c>
      <c r="G21" s="126" t="inlineStr">
        <is>
          <t>Recent uploaded evidence and current workbook state reconciliation.</t>
        </is>
      </c>
    </row>
    <row r="22">
      <c r="A22" s="126" t="inlineStr">
        <is>
          <t>Summary</t>
        </is>
      </c>
      <c r="B22" s="126" t="n">
        <v>18</v>
      </c>
      <c r="C22" s="126" t="n">
        <v>4</v>
      </c>
      <c r="D22" s="126" t="n">
        <v>72</v>
      </c>
      <c r="E22" s="126" t="inlineStr">
        <is>
          <t>YES</t>
        </is>
      </c>
      <c r="F22" s="126" t="inlineStr">
        <is>
          <t>Updated state summary.</t>
        </is>
      </c>
      <c r="G22" s="126" t="inlineStr">
        <is>
          <t>Recent uploaded evidence and current workbook state reconciliation.</t>
        </is>
      </c>
    </row>
    <row r="23">
      <c r="A23" s="126" t="inlineStr">
        <is>
          <t>MERGE_AUDIT</t>
        </is>
      </c>
      <c r="B23" s="126" t="n">
        <v>14</v>
      </c>
      <c r="C23" s="126" t="n">
        <v>8</v>
      </c>
      <c r="D23" s="126" t="n">
        <v>112</v>
      </c>
      <c r="E23" s="126" t="inlineStr">
        <is>
          <t>YES</t>
        </is>
      </c>
      <c r="F23" s="126" t="inlineStr">
        <is>
          <t>Reviewed; retained containment audit unchanged.</t>
        </is>
      </c>
      <c r="G23" s="126" t="inlineStr">
        <is>
          <t>Recent uploaded evidence and current workbook state reconciliation.</t>
        </is>
      </c>
    </row>
    <row r="24">
      <c r="A24" s="126" t="inlineStr">
        <is>
          <t>CONTAINMENT_CHECK</t>
        </is>
      </c>
      <c r="B24" s="126" t="n">
        <v>34</v>
      </c>
      <c r="C24" s="126" t="n">
        <v>6</v>
      </c>
      <c r="D24" s="126" t="n">
        <v>204</v>
      </c>
      <c r="E24" s="126" t="inlineStr">
        <is>
          <t>YES</t>
        </is>
      </c>
      <c r="F24" s="126" t="inlineStr">
        <is>
          <t>Reviewed; retained containment proof unchanged.</t>
        </is>
      </c>
      <c r="G24" s="126" t="inlineStr">
        <is>
          <t>Recent uploaded evidence and current workbook state reconciliation.</t>
        </is>
      </c>
    </row>
    <row r="25">
      <c r="A25" s="126" t="inlineStr">
        <is>
          <t>FORMULA_ERROR_SCAN</t>
        </is>
      </c>
      <c r="B25" s="126" t="n">
        <v>2</v>
      </c>
      <c r="C25" s="126" t="n">
        <v>3</v>
      </c>
      <c r="D25" s="126" t="n">
        <v>6</v>
      </c>
      <c r="E25" s="126" t="inlineStr">
        <is>
          <t>YES</t>
        </is>
      </c>
      <c r="F25" s="126" t="inlineStr">
        <is>
          <t>Regenerated formula error scan.</t>
        </is>
      </c>
      <c r="G25" s="126" t="inlineStr">
        <is>
          <t>Recent uploaded evidence and current workbook state reconciliation.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</cols>
  <sheetData>
    <row r="1" ht="17.08984375" customHeight="1" s="213">
      <c r="A1" s="263" t="inlineStr">
        <is>
          <t>RevisionGrade System Ledger — Control Cockpit</t>
        </is>
      </c>
      <c r="B1" s="264" t="n"/>
      <c r="C1" s="264" t="n"/>
      <c r="D1" s="264" t="n"/>
      <c r="E1" s="264" t="n"/>
      <c r="F1" s="265" t="n"/>
      <c r="G1" s="266" t="n"/>
      <c r="H1" s="266" t="n"/>
      <c r="I1" s="266" t="n"/>
      <c r="J1" s="266" t="n"/>
      <c r="K1" s="266" t="n"/>
    </row>
    <row r="2" ht="14.39999961853027" customHeight="1" s="213">
      <c r="A2" s="267" t="inlineStr">
        <is>
          <t>LAST_LEDGER_REFRESH</t>
        </is>
      </c>
      <c r="B2" s="268" t="inlineStr">
        <is>
          <t>2026-04-28</t>
        </is>
      </c>
      <c r="C2" s="269" t="inlineStr">
        <is>
          <t>SYSTEM_STATE</t>
        </is>
      </c>
      <c r="D2" s="268" t="inlineStr">
        <is>
          <t>U1 ENFORCED / BOUNDARY SHAPE RESOLVED / U2-003 + U2-006 IMPLEMENTED + PUSHED + LOCAL TEST-PROVEN / LIVE_PROOF_PENDING</t>
        </is>
      </c>
      <c r="E2" s="270" t="inlineStr">
        <is>
          <t>Updated 2026-04-28</t>
        </is>
      </c>
      <c r="F2" s="126" t="n"/>
      <c r="G2" s="126" t="n"/>
      <c r="H2" s="126" t="n"/>
      <c r="I2" s="126" t="n"/>
      <c r="J2" s="126" t="n"/>
      <c r="K2" s="126" t="n"/>
    </row>
    <row r="3" ht="14.39999961853027" customHeight="1" s="213">
      <c r="A3" s="191" t="inlineStr">
        <is>
          <t>ACTIVE_BLOCKER</t>
        </is>
      </c>
      <c r="B3" s="183" t="inlineStr">
        <is>
          <t>Run U2 live server/API-path proof; capture confidence_label, confidence_reasons, propagation_summary, NO_TEXTUAL_ANCHOR/reason_codes when applicable, and progress.gate_enforcement.</t>
        </is>
      </c>
      <c r="C3" s="197" t="inlineStr">
        <is>
          <t>ACTIVE_EXECUTION_BLOCK</t>
        </is>
      </c>
      <c r="D3" s="183" t="inlineStr">
        <is>
          <t>U2_FIDELITY_ENFORCEMENT = close 6 RCAs; U2-003/U2-006 are PARTIAL REMOTE IMPLEMENTATION, not RESOLVED</t>
        </is>
      </c>
      <c r="E3" s="135" t="n"/>
      <c r="F3" s="126" t="n"/>
      <c r="G3" s="126" t="n"/>
      <c r="H3" s="126" t="n"/>
      <c r="I3" s="126" t="n"/>
      <c r="J3" s="126" t="n"/>
      <c r="K3" s="126" t="n"/>
    </row>
    <row r="4" ht="14.39999961853027" customHeight="1" s="213">
      <c r="A4" s="192" t="inlineStr">
        <is>
          <t>RCA_SYSTEM_STATUS</t>
        </is>
      </c>
      <c r="B4" s="185" t="inlineStr">
        <is>
          <t>Batch 1 + Batch 2 applied; boundary RCA resolved; U2 entry RCAs implemented/pushed/test-proven locally but awaiting live proof.</t>
        </is>
      </c>
      <c r="C4" s="198" t="inlineStr">
        <is>
          <t>NEXT_BATCH</t>
        </is>
      </c>
      <c r="D4" s="185" t="inlineStr">
        <is>
          <t>Next: live U2 closure proof; do not use Phase 2E/RLS evidence to close U2.</t>
        </is>
      </c>
      <c r="E4" s="138" t="n"/>
      <c r="F4" s="126" t="n"/>
      <c r="G4" s="126" t="n"/>
      <c r="H4" s="126" t="n"/>
      <c r="I4" s="126" t="n"/>
      <c r="J4" s="126" t="n"/>
      <c r="K4" s="126" t="n"/>
    </row>
    <row r="5" ht="14.39999961853027" customHeight="1" s="213">
      <c r="A5" s="192" t="inlineStr">
        <is>
          <t>RULE</t>
        </is>
      </c>
      <c r="B5" s="185" t="inlineStr">
        <is>
          <t>RCA becomes the source of truth; roadmap tabs become views of RCA.</t>
        </is>
      </c>
      <c r="C5" s="185" t="n"/>
      <c r="D5" s="185" t="n"/>
      <c r="E5" s="138" t="n"/>
      <c r="F5" s="126" t="n"/>
      <c r="G5" s="126" t="n"/>
      <c r="H5" s="126" t="n"/>
      <c r="I5" s="126" t="n"/>
      <c r="J5" s="126" t="n"/>
      <c r="K5" s="126" t="n"/>
    </row>
    <row r="6" ht="14.39999961853027" customHeight="1" s="213">
      <c r="A6" s="136" t="inlineStr">
        <is>
          <t>FINAL_PATCH</t>
        </is>
      </c>
      <c r="B6" s="137" t="inlineStr">
        <is>
          <t>PV115 is a verification artifact, not an RCA. Boundary validation calibration uncertainty is now RESOLVED by raw PASS shape proof.</t>
        </is>
      </c>
      <c r="C6" s="137" t="n"/>
      <c r="D6" s="137" t="n"/>
      <c r="E6" s="138" t="n"/>
      <c r="F6" s="126" t="n"/>
      <c r="G6" s="126" t="n"/>
      <c r="H6" s="126" t="n"/>
      <c r="I6" s="126" t="n"/>
      <c r="J6" s="126" t="n"/>
      <c r="K6" s="126" t="n"/>
    </row>
    <row r="7" ht="14.39999961853027" customHeight="1" s="213">
      <c r="A7" s="136" t="inlineStr">
        <is>
          <t>BOUNDARY_RCA</t>
        </is>
      </c>
      <c r="B7" s="137" t="inlineStr">
        <is>
          <t>RCA-BOUNDARY-SHAPE-001</t>
        </is>
      </c>
      <c r="C7" s="137" t="inlineStr">
        <is>
          <t>STATUS</t>
        </is>
      </c>
      <c r="D7" s="137" t="inlineStr">
        <is>
          <t>RESOLVED</t>
        </is>
      </c>
      <c r="E7" s="138" t="n"/>
      <c r="F7" s="126" t="n"/>
      <c r="G7" s="126" t="n"/>
      <c r="H7" s="126" t="n"/>
      <c r="I7" s="126" t="n"/>
      <c r="J7" s="126" t="n"/>
      <c r="K7" s="126" t="n"/>
    </row>
    <row r="8" ht="14.39999961853027" customHeight="1" s="213">
      <c r="A8" s="136" t="inlineStr">
        <is>
          <t>PV115_ARTIFACT</t>
        </is>
      </c>
      <c r="B8" s="137" t="inlineStr">
        <is>
          <t>PV115-GOLDEN-FIXTURE</t>
        </is>
      </c>
      <c r="C8" s="137" t="inlineStr">
        <is>
          <t>STATUS</t>
        </is>
      </c>
      <c r="D8" s="137" t="inlineStr">
        <is>
          <t>NOT_READY</t>
        </is>
      </c>
      <c r="E8" s="138" t="n"/>
      <c r="F8" s="126" t="n"/>
      <c r="G8" s="126" t="n"/>
      <c r="H8" s="126" t="n"/>
      <c r="I8" s="126" t="n"/>
      <c r="J8" s="126" t="n"/>
      <c r="K8" s="126" t="n"/>
    </row>
    <row r="9" ht="14.39999961853027" customHeight="1" s="213">
      <c r="A9" s="136" t="inlineStr">
        <is>
          <t>RULE</t>
        </is>
      </c>
      <c r="B9" s="137" t="inlineStr">
        <is>
          <t>No truth exists outside RCA rows or explicit verification artifacts.</t>
        </is>
      </c>
      <c r="C9" s="137" t="n"/>
      <c r="D9" s="137" t="n"/>
      <c r="E9" s="138" t="n"/>
      <c r="F9" s="126" t="n"/>
      <c r="G9" s="126" t="n"/>
      <c r="H9" s="126" t="n"/>
      <c r="I9" s="126" t="n"/>
      <c r="J9" s="126" t="n"/>
      <c r="K9" s="126" t="n"/>
    </row>
    <row r="10" ht="14.39999961853027" customHeight="1" s="213">
      <c r="A10" s="136" t="inlineStr">
        <is>
          <t>NEXT_EXECUTION</t>
        </is>
      </c>
      <c r="B10" s="137" t="inlineStr">
        <is>
          <t>Boundary shape closed; ROADMAP.md updated through ca12ade4; U2 commit 8ecdde70 pushed. Next: prove U2 behavior on live server/API path before resolving RCAs.</t>
        </is>
      </c>
      <c r="C10" s="137" t="n"/>
      <c r="D10" s="137" t="n"/>
      <c r="E10" s="138" t="n"/>
      <c r="F10" s="126" t="n"/>
      <c r="G10" s="126" t="n"/>
      <c r="H10" s="126" t="n"/>
      <c r="I10" s="126" t="n"/>
      <c r="J10" s="126" t="n"/>
      <c r="K10" s="126" t="n"/>
    </row>
    <row r="11" ht="14.39999961853027" customHeight="1" s="213">
      <c r="A11" s="139" t="inlineStr">
        <is>
          <t>MICRO_PATCH</t>
        </is>
      </c>
      <c r="B11" s="140" t="inlineStr">
        <is>
          <t>PROMOTION_RULE added to VERIFICATION_ARTIFACTS; ambiguity lifecycle normalized as AMBIGUOUS → RESOLVED.</t>
        </is>
      </c>
      <c r="C11" s="140" t="inlineStr">
        <is>
          <t>STATUS</t>
        </is>
      </c>
      <c r="D11" s="140" t="inlineStr">
        <is>
          <t>APPLIED</t>
        </is>
      </c>
      <c r="E11" s="141" t="inlineStr">
        <is>
          <t>2026-04-27</t>
        </is>
      </c>
      <c r="F11" s="126" t="n"/>
      <c r="G11" s="126" t="n"/>
      <c r="H11" s="126" t="n"/>
      <c r="I11" s="126" t="n"/>
      <c r="J11" s="126" t="n"/>
      <c r="K11" s="126" t="n"/>
    </row>
    <row r="12" ht="33.75" customHeight="1" s="213">
      <c r="A12" s="126" t="n"/>
      <c r="B12" s="126" t="n"/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</row>
    <row r="13" ht="33.75" customHeight="1" s="213">
      <c r="A13" s="126" t="inlineStr">
        <is>
          <t>Field</t>
        </is>
      </c>
      <c r="B13" s="126" t="inlineStr">
        <is>
          <t>Value</t>
        </is>
      </c>
      <c r="C13" s="126" t="n"/>
      <c r="D13" s="126" t="n"/>
      <c r="E13" s="126" t="n"/>
      <c r="F13" s="126" t="n"/>
      <c r="G13" s="126" t="n"/>
      <c r="H13" s="126" t="n"/>
      <c r="I13" s="126" t="n"/>
      <c r="J13" s="126" t="n"/>
      <c r="K13" s="126" t="n"/>
    </row>
    <row r="14" ht="33.75" customHeight="1" s="213">
      <c r="A14" s="126" t="inlineStr">
        <is>
          <t>Authority File</t>
        </is>
      </c>
      <c r="B14" s="126" t="inlineStr">
        <is>
          <t>RevisionGrade_System_Ledger_CURRENT.xlsx</t>
        </is>
      </c>
      <c r="C14" s="126" t="n"/>
      <c r="D14" s="126" t="n"/>
      <c r="E14" s="126" t="n"/>
      <c r="F14" s="126" t="n"/>
      <c r="G14" s="126" t="n"/>
      <c r="H14" s="126" t="n"/>
      <c r="I14" s="126" t="n"/>
      <c r="J14" s="126" t="n"/>
      <c r="K14" s="126" t="n"/>
    </row>
    <row r="15">
      <c r="A15" s="126" t="inlineStr">
        <is>
          <t>Repo Location</t>
        </is>
      </c>
      <c r="B15" s="126" t="inlineStr">
        <is>
          <t>docs/roadmap/</t>
        </is>
      </c>
      <c r="C15" s="126" t="n"/>
      <c r="D15" s="126" t="n"/>
      <c r="E15" s="126" t="n"/>
      <c r="F15" s="126" t="n"/>
      <c r="G15" s="126" t="n"/>
      <c r="H15" s="126" t="n"/>
      <c r="I15" s="126" t="n"/>
      <c r="J15" s="126" t="n"/>
      <c r="K15" s="126" t="n"/>
    </row>
    <row r="16">
      <c r="A16" s="126" t="inlineStr">
        <is>
          <t>Authority Rule</t>
        </is>
      </c>
      <c r="B16" s="126" t="inlineStr">
        <is>
          <t>This workbook is the single roadmap source of truth. CSV/Markdown files are archived or generated mirrors only.</t>
        </is>
      </c>
      <c r="C16" s="126" t="n"/>
      <c r="D16" s="126" t="n"/>
      <c r="E16" s="126" t="n"/>
      <c r="F16" s="126" t="n"/>
      <c r="G16" s="126" t="n"/>
      <c r="H16" s="126" t="n"/>
      <c r="I16" s="126" t="n"/>
      <c r="J16" s="126" t="n"/>
      <c r="K16" s="126" t="n"/>
    </row>
    <row r="17">
      <c r="A17" s="126" t="inlineStr">
        <is>
          <t>Doctrine</t>
        </is>
      </c>
      <c r="B17" s="126" t="inlineStr">
        <is>
          <t>If it is not enforced, it is not real.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26" t="n"/>
      <c r="K17" s="126" t="n"/>
    </row>
    <row r="18">
      <c r="A18" s="126" t="inlineStr">
        <is>
          <t>Completion Rule</t>
        </is>
      </c>
      <c r="B18" s="126" t="inlineStr">
        <is>
          <t>COMPLETE requires implemented + hard-enforced + proven, or explicitly marked OBSERVED/READY_FOR_REPO where not a runtime enforcement item.</t>
        </is>
      </c>
      <c r="C18" s="126" t="n"/>
      <c r="D18" s="126" t="n"/>
      <c r="E18" s="126" t="n"/>
      <c r="F18" s="126" t="n"/>
      <c r="G18" s="126" t="n"/>
      <c r="H18" s="126" t="n"/>
      <c r="I18" s="126" t="n"/>
      <c r="J18" s="126" t="n"/>
      <c r="K18" s="126" t="n"/>
    </row>
    <row r="19">
      <c r="A19" s="126" t="inlineStr">
        <is>
          <t>Current State</t>
        </is>
      </c>
      <c r="B19" s="126" t="inlineStr">
        <is>
          <t>U1 ENFORCED; U2 PARTIAL; U3 BLOCKED; QUALITY NOT ENFORCED.</t>
        </is>
      </c>
      <c r="C19" s="126" t="n"/>
      <c r="D19" s="126" t="n"/>
      <c r="E19" s="126" t="n"/>
      <c r="F19" s="126" t="n"/>
      <c r="G19" s="126" t="n"/>
      <c r="H19" s="126" t="n"/>
      <c r="I19" s="126" t="n"/>
      <c r="J19" s="126" t="n"/>
      <c r="K19" s="126" t="n"/>
    </row>
    <row r="20">
      <c r="A20" s="126" t="inlineStr">
        <is>
          <t>Update Date</t>
        </is>
      </c>
      <c r="B20" s="126" t="inlineStr">
        <is>
          <t>2026-04-28</t>
        </is>
      </c>
      <c r="C20" s="126" t="n"/>
      <c r="D20" s="126" t="n"/>
      <c r="E20" s="126" t="n"/>
      <c r="F20" s="126" t="n"/>
      <c r="G20" s="126" t="n"/>
      <c r="H20" s="126" t="n"/>
      <c r="I20" s="126" t="n"/>
      <c r="J20" s="126" t="n"/>
      <c r="K20" s="126" t="n"/>
    </row>
    <row r="21">
      <c r="A21" s="126" t="inlineStr">
        <is>
          <t>Repo README Role</t>
        </is>
      </c>
      <c r="B21" s="126" t="inlineStr">
        <is>
          <t>docs/roadmap/README.md should point to this workbook only and prohibit ROADMAP.md/CSV as parallel truth.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</row>
    <row r="22">
      <c r="A22" s="126" t="inlineStr">
        <is>
          <t>Eff. 1410 hrs, 28 Apr 2026</t>
        </is>
      </c>
      <c r="B22" s="126" t="n"/>
      <c r="C22" s="126" t="n"/>
      <c r="D22" s="126" t="n"/>
      <c r="E22" s="126" t="n"/>
      <c r="F22" s="126" t="n"/>
      <c r="G22" s="126" t="n"/>
      <c r="H22" s="126" t="n"/>
      <c r="I22" s="126" t="n"/>
      <c r="J22" s="126" t="n"/>
      <c r="K22" s="126" t="n"/>
    </row>
    <row r="23">
      <c r="A23" s="126" t="inlineStr">
        <is>
          <t>✅ WHAT I DID (ACTUAL CHANGES)</t>
        </is>
      </c>
      <c r="B23" s="126" t="n"/>
      <c r="C23" s="126" t="n"/>
      <c r="D23" s="126" t="n"/>
      <c r="E23" s="126" t="n"/>
      <c r="F23" s="126" t="n"/>
      <c r="G23" s="126" t="n"/>
      <c r="H23" s="126" t="n"/>
      <c r="I23" s="126" t="n"/>
      <c r="J23" s="126" t="n"/>
      <c r="K23" s="126" t="n"/>
    </row>
    <row r="24">
      <c r="A24" s="126" t="inlineStr">
        <is>
          <t>1. Rebuilt the workbook as the single source of truth</t>
        </is>
      </c>
      <c r="B24" s="126" t="n"/>
      <c r="C24" s="126" t="n"/>
      <c r="D24" s="126" t="n"/>
      <c r="E24" s="126" t="n"/>
      <c r="F24" s="126" t="n"/>
      <c r="G24" s="126" t="n"/>
      <c r="H24" s="126" t="n"/>
      <c r="I24" s="126" t="n"/>
      <c r="J24" s="126" t="n"/>
      <c r="K24" s="126" t="n"/>
    </row>
    <row r="25">
      <c r="A25" s="126" t="inlineStr">
        <is>
          <t>Created a clean, structured .xlsx with these worksheets:</t>
        </is>
      </c>
      <c r="B25" s="126" t="n"/>
      <c r="C25" s="126" t="n"/>
      <c r="D25" s="126" t="n"/>
      <c r="E25" s="126" t="n"/>
      <c r="F25" s="126" t="n"/>
      <c r="G25" s="126" t="n"/>
      <c r="H25" s="126" t="n"/>
      <c r="I25" s="126" t="n"/>
      <c r="J25" s="126" t="n"/>
      <c r="K25" s="126" t="n"/>
    </row>
    <row r="26">
      <c r="A26" s="126" t="inlineStr">
        <is>
          <t>README</t>
        </is>
      </c>
      <c r="B26" s="126" t="n"/>
      <c r="C26" s="126" t="n"/>
      <c r="D26" s="126" t="n"/>
      <c r="E26" s="126" t="n"/>
      <c r="F26" s="126" t="n"/>
      <c r="G26" s="126" t="n"/>
      <c r="H26" s="126" t="n"/>
      <c r="I26" s="126" t="n"/>
      <c r="J26" s="126" t="n"/>
      <c r="K26" s="126" t="n"/>
    </row>
    <row r="27">
      <c r="A27" s="126" t="inlineStr">
        <is>
          <t>Doctrine</t>
        </is>
      </c>
      <c r="B27" s="126" t="n"/>
      <c r="C27" s="126" t="n"/>
      <c r="D27" s="126" t="n"/>
      <c r="E27" s="126" t="n"/>
      <c r="F27" s="126" t="n"/>
      <c r="G27" s="126" t="n"/>
      <c r="H27" s="126" t="n"/>
      <c r="I27" s="126" t="n"/>
      <c r="J27" s="126" t="n"/>
      <c r="K27" s="126" t="n"/>
    </row>
    <row r="28">
      <c r="A28" s="126" t="inlineStr">
        <is>
          <t>Complete-Partially-Pending</t>
        </is>
      </c>
      <c r="B28" s="126" t="n"/>
      <c r="C28" s="126" t="n"/>
      <c r="D28" s="126" t="n"/>
      <c r="E28" s="126" t="n"/>
      <c r="F28" s="126" t="n"/>
      <c r="G28" s="126" t="n"/>
      <c r="H28" s="126" t="n"/>
      <c r="I28" s="126" t="n"/>
      <c r="J28" s="126" t="n"/>
      <c r="K28" s="126" t="n"/>
    </row>
    <row r="29">
      <c r="A29" s="126" t="inlineStr">
        <is>
          <t>Execution-Block</t>
        </is>
      </c>
      <c r="B29" s="126" t="n"/>
      <c r="C29" s="126" t="n"/>
      <c r="D29" s="126" t="n"/>
      <c r="E29" s="126" t="n"/>
      <c r="F29" s="126" t="n"/>
      <c r="G29" s="126" t="n"/>
      <c r="H29" s="126" t="n"/>
      <c r="I29" s="126" t="n"/>
      <c r="J29" s="126" t="n"/>
      <c r="K29" s="126" t="n"/>
    </row>
    <row r="30">
      <c r="A30" s="126" t="inlineStr">
        <is>
          <t>RCA-Batch-Plan</t>
        </is>
      </c>
      <c r="B30" s="126" t="n"/>
      <c r="C30" s="126" t="n"/>
      <c r="D30" s="126" t="n"/>
      <c r="E30" s="126" t="n"/>
      <c r="F30" s="126" t="n"/>
      <c r="G30" s="126" t="n"/>
      <c r="H30" s="126" t="n"/>
      <c r="I30" s="126" t="n"/>
      <c r="J30" s="126" t="n"/>
      <c r="K30" s="126" t="n"/>
    </row>
    <row r="31">
      <c r="A31" s="126" t="inlineStr">
        <is>
          <t>RCA-Link-Map</t>
        </is>
      </c>
      <c r="B31" s="126" t="n"/>
      <c r="C31" s="126" t="n"/>
      <c r="D31" s="126" t="n"/>
      <c r="E31" s="126" t="n"/>
      <c r="F31" s="126" t="n"/>
      <c r="G31" s="126" t="n"/>
      <c r="H31" s="126" t="n"/>
      <c r="I31" s="126" t="n"/>
      <c r="J31" s="126" t="n"/>
      <c r="K31" s="126" t="n"/>
    </row>
    <row r="32">
      <c r="A32" s="126" t="inlineStr">
        <is>
          <t>RCA-Script-Links</t>
        </is>
      </c>
      <c r="B32" s="126" t="n"/>
      <c r="C32" s="126" t="n"/>
      <c r="D32" s="126" t="n"/>
      <c r="E32" s="126" t="n"/>
      <c r="F32" s="126" t="n"/>
      <c r="G32" s="126" t="n"/>
      <c r="H32" s="126" t="n"/>
      <c r="I32" s="126" t="n"/>
      <c r="J32" s="126" t="n"/>
      <c r="K32" s="126" t="n"/>
    </row>
    <row r="33">
      <c r="A33" s="126" t="inlineStr">
        <is>
          <t>Enforcement-Scale</t>
        </is>
      </c>
      <c r="B33" s="126" t="n"/>
      <c r="C33" s="126" t="n"/>
      <c r="D33" s="126" t="n"/>
      <c r="E33" s="126" t="n"/>
      <c r="F33" s="126" t="n"/>
      <c r="G33" s="126" t="n"/>
      <c r="H33" s="126" t="n"/>
      <c r="I33" s="126" t="n"/>
      <c r="J33" s="126" t="n"/>
      <c r="K33" s="126" t="n"/>
    </row>
    <row r="34">
      <c r="A34" s="126" t="inlineStr">
        <is>
          <t>E2E-Script-Map</t>
        </is>
      </c>
      <c r="B34" s="126" t="n"/>
      <c r="C34" s="126" t="n"/>
      <c r="D34" s="126" t="n"/>
      <c r="E34" s="126" t="n"/>
      <c r="F34" s="126" t="n"/>
      <c r="G34" s="126" t="n"/>
      <c r="H34" s="126" t="n"/>
      <c r="I34" s="126" t="n"/>
      <c r="J34" s="126" t="n"/>
      <c r="K34" s="126" t="n"/>
    </row>
    <row r="35">
      <c r="A35" s="126" t="inlineStr">
        <is>
          <t>Canon-Code-Map</t>
        </is>
      </c>
      <c r="B35" s="126" t="n"/>
      <c r="C35" s="126" t="n"/>
      <c r="D35" s="126" t="n"/>
      <c r="E35" s="126" t="n"/>
      <c r="F35" s="126" t="n"/>
      <c r="G35" s="126" t="n"/>
      <c r="H35" s="126" t="n"/>
      <c r="I35" s="126" t="n"/>
      <c r="J35" s="126" t="n"/>
      <c r="K35" s="126" t="n"/>
    </row>
    <row r="36">
      <c r="A36" s="126" t="inlineStr">
        <is>
          <t>Change-Log</t>
        </is>
      </c>
      <c r="B36" s="126" t="n"/>
      <c r="C36" s="126" t="n"/>
      <c r="D36" s="126" t="n"/>
      <c r="E36" s="126" t="n"/>
      <c r="F36" s="126" t="n"/>
      <c r="G36" s="126" t="n"/>
      <c r="H36" s="126" t="n"/>
      <c r="I36" s="126" t="n"/>
      <c r="J36" s="126" t="n"/>
      <c r="K36" s="126" t="n"/>
    </row>
    <row r="37">
      <c r="A37" s="126" t="inlineStr">
        <is>
          <t>Source-Index</t>
        </is>
      </c>
      <c r="B37" s="126" t="n"/>
      <c r="C37" s="126" t="n"/>
      <c r="D37" s="126" t="n"/>
      <c r="E37" s="126" t="n"/>
      <c r="F37" s="126" t="n"/>
      <c r="G37" s="126" t="n"/>
      <c r="H37" s="126" t="n"/>
      <c r="I37" s="126" t="n"/>
      <c r="J37" s="126" t="n"/>
      <c r="K37" s="126" t="n"/>
    </row>
    <row r="38">
      <c r="A38" s="126" t="inlineStr">
        <is>
          <t>Summary</t>
        </is>
      </c>
      <c r="B38" s="126" t="n"/>
      <c r="C38" s="126" t="n"/>
      <c r="D38" s="126" t="n"/>
      <c r="E38" s="126" t="n"/>
      <c r="F38" s="126" t="n"/>
      <c r="G38" s="126" t="n"/>
      <c r="H38" s="126" t="n"/>
      <c r="I38" s="126" t="n"/>
      <c r="J38" s="126" t="n"/>
      <c r="K38" s="126" t="n"/>
    </row>
    <row r="39">
      <c r="A39" s="126" t="inlineStr">
        <is>
          <t>2. Reconciled system state (this is critical)</t>
        </is>
      </c>
      <c r="B39" s="126" t="n"/>
      <c r="C39" s="126" t="n"/>
      <c r="D39" s="126" t="n"/>
      <c r="E39" s="126" t="n"/>
      <c r="F39" s="126" t="n"/>
      <c r="G39" s="126" t="n"/>
      <c r="H39" s="126" t="n"/>
      <c r="I39" s="126" t="n"/>
      <c r="J39" s="126" t="n"/>
      <c r="K39" s="126" t="n"/>
    </row>
    <row r="40">
      <c r="A40" s="126" t="inlineStr">
        <is>
          <t>Your workbook now reflects true reality, not mixed signals:</t>
        </is>
      </c>
      <c r="B40" s="126" t="n"/>
      <c r="C40" s="126" t="n"/>
      <c r="D40" s="126" t="n"/>
      <c r="E40" s="126" t="n"/>
      <c r="F40" s="126" t="n"/>
      <c r="G40" s="126" t="n"/>
      <c r="H40" s="126" t="n"/>
      <c r="I40" s="126" t="n"/>
      <c r="J40" s="126" t="n"/>
      <c r="K40" s="126" t="n"/>
    </row>
    <row r="41">
      <c r="A41" s="126" t="inlineStr">
        <is>
          <t>U1: ENFORCED</t>
        </is>
      </c>
      <c r="B41" s="126" t="n"/>
      <c r="C41" s="126" t="n"/>
      <c r="D41" s="126" t="n"/>
      <c r="E41" s="126" t="n"/>
      <c r="F41" s="126" t="n"/>
      <c r="G41" s="126" t="n"/>
      <c r="H41" s="126" t="n"/>
      <c r="I41" s="126" t="n"/>
      <c r="J41" s="126" t="n"/>
      <c r="K41" s="126" t="n"/>
    </row>
    <row r="42">
      <c r="A42" s="126" t="inlineStr">
        <is>
          <t>U2: PARTIAL</t>
        </is>
      </c>
      <c r="B42" s="126" t="n"/>
      <c r="C42" s="126" t="n"/>
      <c r="D42" s="126" t="n"/>
      <c r="E42" s="126" t="n"/>
      <c r="F42" s="126" t="n"/>
      <c r="G42" s="126" t="n"/>
      <c r="H42" s="126" t="n"/>
      <c r="I42" s="126" t="n"/>
      <c r="J42" s="126" t="n"/>
      <c r="K42" s="126" t="n"/>
    </row>
    <row r="43">
      <c r="A43" s="126" t="inlineStr">
        <is>
          <t>U3: BLOCKED</t>
        </is>
      </c>
      <c r="B43" s="126" t="n"/>
      <c r="C43" s="126" t="n"/>
      <c r="D43" s="126" t="n"/>
      <c r="E43" s="126" t="n"/>
      <c r="F43" s="126" t="n"/>
      <c r="G43" s="126" t="n"/>
      <c r="H43" s="126" t="n"/>
      <c r="I43" s="126" t="n"/>
      <c r="J43" s="126" t="n"/>
      <c r="K43" s="126" t="n"/>
    </row>
    <row r="44">
      <c r="A44" s="126" t="inlineStr">
        <is>
          <t>QUALITY: NOT ENFORCED</t>
        </is>
      </c>
      <c r="B44" s="126" t="n"/>
      <c r="C44" s="126" t="n"/>
      <c r="D44" s="126" t="n"/>
      <c r="E44" s="126" t="n"/>
      <c r="F44" s="126" t="n"/>
      <c r="G44" s="126" t="n"/>
      <c r="H44" s="126" t="n"/>
      <c r="I44" s="126" t="n"/>
      <c r="J44" s="126" t="n"/>
      <c r="K44" s="126" t="n"/>
    </row>
    <row r="45">
      <c r="A45" s="126" t="inlineStr">
        <is>
          <t>3. Inserted the missing critical RCA</t>
        </is>
      </c>
      <c r="B45" s="126" t="n"/>
      <c r="C45" s="126" t="n"/>
      <c r="D45" s="126" t="n"/>
      <c r="E45" s="126" t="n"/>
      <c r="F45" s="126" t="n"/>
      <c r="G45" s="126" t="n"/>
      <c r="H45" s="126" t="n"/>
      <c r="I45" s="126" t="n"/>
      <c r="J45" s="126" t="n"/>
      <c r="K45" s="126" t="n"/>
    </row>
    <row r="46">
      <c r="A46" s="126" t="inlineStr">
        <is>
          <t>Added:</t>
        </is>
      </c>
      <c r="B46" s="126" t="n"/>
      <c r="C46" s="126" t="n"/>
      <c r="D46" s="126" t="n"/>
      <c r="E46" s="126" t="n"/>
      <c r="F46" s="126" t="n"/>
      <c r="G46" s="126" t="n"/>
      <c r="H46" s="126" t="n"/>
      <c r="I46" s="126" t="n"/>
      <c r="J46" s="126" t="n"/>
      <c r="K46" s="126" t="n"/>
    </row>
    <row r="47">
      <c r="A47" s="126" t="inlineStr">
        <is>
          <t>RCA-EVAL-QUALITY-001</t>
        </is>
      </c>
      <c r="B47" s="126" t="n"/>
      <c r="C47" s="126" t="n"/>
      <c r="D47" s="126" t="n"/>
      <c r="E47" s="126" t="n"/>
      <c r="F47" s="126" t="n"/>
      <c r="G47" s="126" t="n"/>
      <c r="H47" s="126" t="n"/>
      <c r="I47" s="126" t="n"/>
      <c r="J47" s="126" t="n"/>
      <c r="K47" s="126" t="n"/>
    </row>
    <row r="48">
      <c r="A48" s="126" t="inlineStr">
        <is>
          <t>With:</t>
        </is>
      </c>
      <c r="B48" s="126" t="n"/>
      <c r="C48" s="126" t="n"/>
      <c r="D48" s="126" t="n"/>
      <c r="E48" s="126" t="n"/>
      <c r="F48" s="126" t="n"/>
      <c r="G48" s="126" t="n"/>
      <c r="H48" s="126" t="n"/>
      <c r="I48" s="126" t="n"/>
      <c r="J48" s="126" t="n"/>
      <c r="K48" s="126" t="n"/>
    </row>
    <row r="49">
      <c r="A49" s="126" t="inlineStr">
        <is>
          <t>generic recommendation failure</t>
        </is>
      </c>
      <c r="B49" s="126" t="n"/>
      <c r="C49" s="126" t="n"/>
      <c r="D49" s="126" t="n"/>
      <c r="E49" s="126" t="n"/>
      <c r="F49" s="126" t="n"/>
      <c r="G49" s="126" t="n"/>
      <c r="H49" s="126" t="n"/>
      <c r="I49" s="126" t="n"/>
      <c r="J49" s="126" t="n"/>
      <c r="K49" s="126" t="n"/>
    </row>
    <row r="50">
      <c r="A50" s="126" t="inlineStr">
        <is>
          <t>evidence binding failure</t>
        </is>
      </c>
      <c r="B50" s="126" t="n"/>
      <c r="C50" s="126" t="n"/>
      <c r="D50" s="126" t="n"/>
      <c r="E50" s="126" t="n"/>
      <c r="F50" s="126" t="n"/>
      <c r="G50" s="126" t="n"/>
      <c r="H50" s="126" t="n"/>
      <c r="I50" s="126" t="n"/>
      <c r="J50" s="126" t="n"/>
      <c r="K50" s="126" t="n"/>
    </row>
    <row r="51">
      <c r="A51" s="126" t="inlineStr">
        <is>
          <t>confidence-authority mismatch</t>
        </is>
      </c>
      <c r="B51" s="126" t="n"/>
      <c r="C51" s="126" t="n"/>
      <c r="D51" s="126" t="n"/>
      <c r="E51" s="126" t="n"/>
      <c r="F51" s="126" t="n"/>
      <c r="G51" s="126" t="n"/>
      <c r="H51" s="126" t="n"/>
      <c r="I51" s="126" t="n"/>
      <c r="J51" s="126" t="n"/>
      <c r="K51" s="126" t="n"/>
    </row>
    <row r="52">
      <c r="A52" s="126" t="inlineStr">
        <is>
          <t>Pass 3 drift</t>
        </is>
      </c>
      <c r="B52" s="126" t="n"/>
      <c r="C52" s="126" t="n"/>
      <c r="D52" s="126" t="n"/>
      <c r="E52" s="126" t="n"/>
      <c r="F52" s="126" t="n"/>
      <c r="G52" s="126" t="n"/>
      <c r="H52" s="126" t="n"/>
      <c r="I52" s="126" t="n"/>
      <c r="J52" s="126" t="n"/>
      <c r="K52" s="126" t="n"/>
    </row>
    <row r="53">
      <c r="A53" s="126" t="inlineStr">
        <is>
          <t>👉 This is now explicitly tracked as PENDING and CRITICAL</t>
        </is>
      </c>
      <c r="B53" s="126" t="n"/>
      <c r="C53" s="126" t="n"/>
      <c r="D53" s="126" t="n"/>
      <c r="E53" s="126" t="n"/>
      <c r="F53" s="126" t="n"/>
      <c r="G53" s="126" t="n"/>
      <c r="H53" s="126" t="n"/>
      <c r="I53" s="126" t="n"/>
      <c r="J53" s="126" t="n"/>
      <c r="K53" s="126" t="n"/>
    </row>
    <row r="54">
      <c r="A54" s="126" t="inlineStr">
        <is>
          <t>4. Cleaned and normalized the ledger</t>
        </is>
      </c>
      <c r="B54" s="126" t="n"/>
      <c r="C54" s="126" t="n"/>
      <c r="D54" s="126" t="n"/>
      <c r="E54" s="126" t="n"/>
      <c r="F54" s="126" t="n"/>
      <c r="G54" s="126" t="n"/>
      <c r="H54" s="126" t="n"/>
      <c r="I54" s="126" t="n"/>
      <c r="J54" s="126" t="n"/>
      <c r="K54" s="126" t="n"/>
    </row>
    <row r="55">
      <c r="A55" s="126" t="inlineStr">
        <is>
          <t>Removed drift between sheets</t>
        </is>
      </c>
      <c r="B55" s="126" t="n"/>
      <c r="C55" s="126" t="n"/>
      <c r="D55" s="126" t="n"/>
      <c r="E55" s="126" t="n"/>
      <c r="F55" s="126" t="n"/>
      <c r="G55" s="126" t="n"/>
      <c r="H55" s="126" t="n"/>
      <c r="I55" s="126" t="n"/>
      <c r="J55" s="126" t="n"/>
      <c r="K55" s="126" t="n"/>
    </row>
    <row r="56">
      <c r="A56" s="126" t="inlineStr">
        <is>
          <t>Aligned statuses (COMPLETE / PARTIAL / PENDING)</t>
        </is>
      </c>
      <c r="B56" s="126" t="n"/>
      <c r="C56" s="126" t="n"/>
      <c r="D56" s="126" t="n"/>
      <c r="E56" s="126" t="n"/>
      <c r="F56" s="126" t="n"/>
      <c r="G56" s="126" t="n"/>
      <c r="H56" s="126" t="n"/>
      <c r="I56" s="126" t="n"/>
      <c r="J56" s="126" t="n"/>
      <c r="K56" s="126" t="n"/>
    </row>
    <row r="57">
      <c r="A57" s="126" t="inlineStr">
        <is>
          <t>Ensured everything flows through the main ledger sheet</t>
        </is>
      </c>
      <c r="B57" s="126" t="n"/>
      <c r="C57" s="126" t="n"/>
      <c r="D57" s="126" t="n"/>
      <c r="E57" s="126" t="n"/>
      <c r="F57" s="126" t="n"/>
      <c r="G57" s="126" t="n"/>
      <c r="H57" s="126" t="n"/>
      <c r="I57" s="126" t="n"/>
      <c r="J57" s="126" t="n"/>
      <c r="K57" s="126" t="n"/>
    </row>
    <row r="58">
      <c r="A58" s="126" t="inlineStr">
        <is>
          <t>5. Added enforcement doctrine INTO the workbook</t>
        </is>
      </c>
      <c r="B58" s="126" t="n"/>
      <c r="C58" s="126" t="n"/>
      <c r="D58" s="126" t="n"/>
      <c r="E58" s="126" t="n"/>
      <c r="F58" s="126" t="n"/>
      <c r="G58" s="126" t="n"/>
      <c r="H58" s="126" t="n"/>
      <c r="I58" s="126" t="n"/>
      <c r="J58" s="126" t="n"/>
      <c r="K58" s="126" t="n"/>
    </row>
    <row r="59">
      <c r="A59" s="126" t="inlineStr">
        <is>
          <t>Not external anymore — now inside:</t>
        </is>
      </c>
      <c r="B59" s="126" t="n"/>
      <c r="C59" s="126" t="n"/>
      <c r="D59" s="126" t="n"/>
      <c r="E59" s="126" t="n"/>
      <c r="F59" s="126" t="n"/>
      <c r="G59" s="126" t="n"/>
      <c r="H59" s="126" t="n"/>
      <c r="I59" s="126" t="n"/>
      <c r="J59" s="126" t="n"/>
      <c r="K59" s="126" t="n"/>
    </row>
    <row r="60">
      <c r="A60" s="126" t="inlineStr">
        <is>
          <t>U1 / U2 / U3 definitions</t>
        </is>
      </c>
      <c r="B60" s="126" t="n"/>
      <c r="C60" s="126" t="n"/>
      <c r="D60" s="126" t="n"/>
      <c r="E60" s="126" t="n"/>
      <c r="F60" s="126" t="n"/>
      <c r="G60" s="126" t="n"/>
      <c r="H60" s="126" t="n"/>
      <c r="I60" s="126" t="n"/>
      <c r="J60" s="126" t="n"/>
      <c r="K60" s="126" t="n"/>
    </row>
    <row r="61">
      <c r="A61" s="126" t="inlineStr">
        <is>
          <t>execution law</t>
        </is>
      </c>
      <c r="B61" s="126" t="n"/>
      <c r="C61" s="126" t="n"/>
      <c r="D61" s="126" t="n"/>
      <c r="E61" s="126" t="n"/>
      <c r="F61" s="126" t="n"/>
      <c r="G61" s="126" t="n"/>
      <c r="H61" s="126" t="n"/>
      <c r="I61" s="126" t="n"/>
      <c r="J61" s="126" t="n"/>
      <c r="K61" s="126" t="n"/>
    </row>
    <row r="62">
      <c r="A62" s="126" t="inlineStr">
        <is>
          <t>proof requirements</t>
        </is>
      </c>
      <c r="B62" s="126" t="n"/>
      <c r="C62" s="126" t="n"/>
      <c r="D62" s="126" t="n"/>
      <c r="E62" s="126" t="n"/>
      <c r="F62" s="126" t="n"/>
      <c r="G62" s="126" t="n"/>
      <c r="H62" s="126" t="n"/>
      <c r="I62" s="126" t="n"/>
      <c r="J62" s="126" t="n"/>
      <c r="K62" s="126" t="n"/>
    </row>
    <row r="63">
      <c r="A63" s="126" t="inlineStr">
        <is>
          <t>no-drift rule</t>
        </is>
      </c>
      <c r="B63" s="126" t="n"/>
      <c r="C63" s="126" t="n"/>
      <c r="D63" s="126" t="n"/>
      <c r="E63" s="126" t="n"/>
      <c r="F63" s="126" t="n"/>
      <c r="G63" s="126" t="n"/>
      <c r="H63" s="126" t="n"/>
      <c r="I63" s="126" t="n"/>
      <c r="J63" s="126" t="n"/>
      <c r="K63" s="126" t="n"/>
    </row>
    <row r="64">
      <c r="A64" s="126" t="inlineStr">
        <is>
          <t>6. Built a real execution model sheet</t>
        </is>
      </c>
      <c r="B64" s="126" t="n"/>
      <c r="C64" s="126" t="n"/>
      <c r="D64" s="126" t="n"/>
      <c r="E64" s="126" t="n"/>
      <c r="F64" s="126" t="n"/>
      <c r="G64" s="126" t="n"/>
      <c r="H64" s="126" t="n"/>
      <c r="I64" s="126" t="n"/>
      <c r="J64" s="126" t="n"/>
      <c r="K64" s="126" t="n"/>
    </row>
    <row r="65">
      <c r="A65" s="126" t="inlineStr">
        <is>
          <t>Your Execution-Block now clearly shows:</t>
        </is>
      </c>
      <c r="B65" s="126" t="n"/>
      <c r="C65" s="126" t="n"/>
      <c r="D65" s="126" t="n"/>
      <c r="E65" s="126" t="n"/>
      <c r="F65" s="126" t="n"/>
      <c r="G65" s="126" t="n"/>
      <c r="H65" s="126" t="n"/>
      <c r="I65" s="126" t="n"/>
      <c r="J65" s="126" t="n"/>
      <c r="K65" s="126" t="n"/>
    </row>
    <row r="66">
      <c r="A66" s="126" t="inlineStr">
        <is>
          <t>1. Env typing fix (READY_FOR_PR)</t>
        </is>
      </c>
      <c r="B66" s="126" t="n"/>
      <c r="C66" s="126" t="n"/>
      <c r="D66" s="126" t="n"/>
      <c r="E66" s="126" t="n"/>
      <c r="F66" s="126" t="n"/>
      <c r="G66" s="126" t="n"/>
      <c r="H66" s="126" t="n"/>
      <c r="I66" s="126" t="n"/>
      <c r="J66" s="126" t="n"/>
      <c r="K66" s="126" t="n"/>
    </row>
    <row r="67">
      <c r="A67" s="126" t="inlineStr">
        <is>
          <t>2. U2 live proof (blocking)</t>
        </is>
      </c>
      <c r="B67" s="126" t="n"/>
      <c r="C67" s="126" t="n"/>
      <c r="D67" s="126" t="n"/>
      <c r="E67" s="126" t="n"/>
      <c r="F67" s="126" t="n"/>
      <c r="G67" s="126" t="n"/>
      <c r="H67" s="126" t="n"/>
      <c r="I67" s="126" t="n"/>
      <c r="J67" s="126" t="n"/>
      <c r="K67" s="126" t="n"/>
    </row>
    <row r="68">
      <c r="A68" s="126" t="inlineStr">
        <is>
          <t>3. LLR-004 classification</t>
        </is>
      </c>
      <c r="B68" s="126" t="n"/>
      <c r="C68" s="126" t="n"/>
      <c r="D68" s="126" t="n"/>
      <c r="E68" s="126" t="n"/>
      <c r="F68" s="126" t="n"/>
      <c r="G68" s="126" t="n"/>
      <c r="H68" s="126" t="n"/>
      <c r="I68" s="126" t="n"/>
      <c r="J68" s="126" t="n"/>
      <c r="K68" s="126" t="n"/>
    </row>
    <row r="69">
      <c r="A69" s="126" t="inlineStr">
        <is>
          <t>4. Quality enforcement (RCA-EVAL-QUALITY-001)</t>
        </is>
      </c>
      <c r="B69" s="126" t="n"/>
      <c r="C69" s="126" t="n"/>
      <c r="D69" s="126" t="n"/>
      <c r="E69" s="126" t="n"/>
      <c r="F69" s="126" t="n"/>
      <c r="G69" s="126" t="n"/>
      <c r="H69" s="126" t="n"/>
      <c r="I69" s="126" t="n"/>
      <c r="J69" s="126" t="n"/>
      <c r="K69" s="126" t="n"/>
    </row>
    <row r="70">
      <c r="A70" s="126" t="inlineStr">
        <is>
          <t>5. U3 unlock (blocked)</t>
        </is>
      </c>
      <c r="B70" s="126" t="n"/>
      <c r="C70" s="126" t="n"/>
      <c r="D70" s="126" t="n"/>
      <c r="E70" s="126" t="n"/>
      <c r="F70" s="126" t="n"/>
      <c r="G70" s="126" t="n"/>
      <c r="H70" s="126" t="n"/>
      <c r="I70" s="126" t="n"/>
      <c r="J70" s="126" t="n"/>
      <c r="K70" s="126" t="n"/>
    </row>
    <row r="71">
      <c r="A71" s="126" t="inlineStr">
        <is>
          <t>7. Added a real Summary dashboard</t>
        </is>
      </c>
      <c r="B71" s="126" t="n"/>
      <c r="C71" s="126" t="n"/>
      <c r="D71" s="126" t="n"/>
      <c r="E71" s="126" t="n"/>
      <c r="F71" s="126" t="n"/>
      <c r="G71" s="126" t="n"/>
      <c r="H71" s="126" t="n"/>
      <c r="I71" s="126" t="n"/>
      <c r="J71" s="126" t="n"/>
      <c r="K71" s="126" t="n"/>
    </row>
    <row r="72">
      <c r="A72" s="126" t="inlineStr">
        <is>
          <t>With formulas:</t>
        </is>
      </c>
      <c r="B72" s="126" t="n"/>
      <c r="C72" s="126" t="n"/>
      <c r="D72" s="126" t="n"/>
      <c r="E72" s="126" t="n"/>
      <c r="F72" s="126" t="n"/>
      <c r="G72" s="126" t="n"/>
      <c r="H72" s="126" t="n"/>
      <c r="I72" s="126" t="n"/>
      <c r="J72" s="126" t="n"/>
      <c r="K72" s="126" t="n"/>
    </row>
    <row r="73">
      <c r="A73" s="126" t="inlineStr">
        <is>
          <t>total rows</t>
        </is>
      </c>
      <c r="B73" s="126" t="n"/>
      <c r="C73" s="126" t="n"/>
      <c r="D73" s="126" t="n"/>
      <c r="E73" s="126" t="n"/>
      <c r="F73" s="126" t="n"/>
      <c r="G73" s="126" t="n"/>
      <c r="H73" s="126" t="n"/>
      <c r="I73" s="126" t="n"/>
      <c r="J73" s="126" t="n"/>
      <c r="K73" s="126" t="n"/>
    </row>
    <row r="74">
      <c r="A74" s="126" t="inlineStr">
        <is>
          <t>complete / partial / pending counts</t>
        </is>
      </c>
      <c r="B74" s="126" t="n"/>
      <c r="C74" s="126" t="n"/>
      <c r="D74" s="126" t="n"/>
      <c r="E74" s="126" t="n"/>
      <c r="F74" s="126" t="n"/>
      <c r="G74" s="126" t="n"/>
      <c r="H74" s="126" t="n"/>
      <c r="I74" s="126" t="n"/>
      <c r="J74" s="126" t="n"/>
      <c r="K74" s="126" t="n"/>
    </row>
    <row r="75">
      <c r="A75" s="126" t="inlineStr">
        <is>
          <t>system state snapshot</t>
        </is>
      </c>
      <c r="B75" s="126" t="n"/>
      <c r="C75" s="126" t="n"/>
      <c r="D75" s="126" t="n"/>
      <c r="E75" s="126" t="n"/>
      <c r="F75" s="126" t="n"/>
      <c r="G75" s="126" t="n"/>
      <c r="H75" s="126" t="n"/>
      <c r="I75" s="126" t="n"/>
      <c r="J75" s="126" t="n"/>
      <c r="K75" s="126" t="n"/>
    </row>
    <row r="76">
      <c r="A76" s="126" t="inlineStr">
        <is>
          <t>🧠 WHAT I DID IN YOUR REPO</t>
        </is>
      </c>
      <c r="B76" s="126" t="n"/>
      <c r="C76" s="126" t="n"/>
      <c r="D76" s="126" t="n"/>
      <c r="E76" s="126" t="n"/>
      <c r="F76" s="126" t="n"/>
      <c r="G76" s="126" t="n"/>
      <c r="H76" s="126" t="n"/>
      <c r="I76" s="126" t="n"/>
      <c r="J76" s="126" t="n"/>
      <c r="K76" s="126" t="n"/>
    </row>
    <row r="77">
      <c r="A77" s="126" t="inlineStr">
        <is>
          <t>I did not guess — I actually updated it:</t>
        </is>
      </c>
      <c r="B77" s="126" t="n"/>
      <c r="C77" s="126" t="n"/>
      <c r="D77" s="126" t="n"/>
      <c r="E77" s="126" t="n"/>
      <c r="F77" s="126" t="n"/>
      <c r="G77" s="126" t="n"/>
      <c r="H77" s="126" t="n"/>
      <c r="I77" s="126" t="n"/>
      <c r="J77" s="126" t="n"/>
      <c r="K77" s="126" t="n"/>
    </row>
    <row r="78">
      <c r="A78" s="126" t="inlineStr">
        <is>
          <t>✅ Updated:</t>
        </is>
      </c>
      <c r="B78" s="126" t="n"/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</row>
    <row r="79">
      <c r="A79" s="126" t="inlineStr">
        <is>
          <t>docs/roadmap/README.md</t>
        </is>
      </c>
      <c r="B79" s="126" t="n"/>
      <c r="C79" s="126" t="n"/>
      <c r="D79" s="126" t="n"/>
      <c r="E79" s="126" t="n"/>
      <c r="F79" s="126" t="n"/>
      <c r="G79" s="126" t="n"/>
      <c r="H79" s="126" t="n"/>
      <c r="I79" s="126" t="n"/>
      <c r="J79" s="126" t="n"/>
      <c r="K79" s="126" t="n"/>
    </row>
    <row r="80">
      <c r="A80" s="126" t="inlineStr">
        <is>
          <t>It now enforces:</t>
        </is>
      </c>
      <c r="B80" s="126" t="n"/>
      <c r="C80" s="126" t="n"/>
      <c r="D80" s="126" t="n"/>
      <c r="E80" s="126" t="n"/>
      <c r="F80" s="126" t="n"/>
      <c r="G80" s="126" t="n"/>
      <c r="H80" s="126" t="n"/>
      <c r="I80" s="126" t="n"/>
      <c r="J80" s="126" t="n"/>
      <c r="K80" s="126" t="n"/>
    </row>
    <row r="81">
      <c r="A81" s="126" t="inlineStr">
        <is>
          <t>Workbook = ONLY source of truth</t>
        </is>
      </c>
      <c r="B81" s="126" t="n"/>
      <c r="C81" s="126" t="n"/>
      <c r="D81" s="126" t="n"/>
      <c r="E81" s="126" t="n"/>
      <c r="F81" s="126" t="n"/>
      <c r="G81" s="126" t="n"/>
      <c r="H81" s="126" t="n"/>
      <c r="I81" s="126" t="n"/>
      <c r="J81" s="126" t="n"/>
      <c r="K81" s="126" t="n"/>
    </row>
    <row r="82">
      <c r="A82" s="126" t="inlineStr">
        <is>
          <t>And explicitly says:</t>
        </is>
      </c>
      <c r="B82" s="126" t="n"/>
      <c r="C82" s="126" t="n"/>
      <c r="D82" s="126" t="n"/>
      <c r="E82" s="126" t="n"/>
      <c r="F82" s="126" t="n"/>
      <c r="G82" s="126" t="n"/>
      <c r="H82" s="126" t="n"/>
      <c r="I82" s="126" t="n"/>
      <c r="J82" s="126" t="n"/>
      <c r="K82" s="126" t="n"/>
    </row>
    <row r="83">
      <c r="A83" s="126" t="inlineStr">
        <is>
          <t>no more roadmap.md authority</t>
        </is>
      </c>
      <c r="B83" s="126" t="n"/>
      <c r="C83" s="126" t="n"/>
      <c r="D83" s="126" t="n"/>
      <c r="E83" s="126" t="n"/>
      <c r="F83" s="126" t="n"/>
      <c r="G83" s="126" t="n"/>
      <c r="H83" s="126" t="n"/>
      <c r="I83" s="126" t="n"/>
      <c r="J83" s="126" t="n"/>
      <c r="K83" s="126" t="n"/>
    </row>
    <row r="84">
      <c r="A84" s="126" t="inlineStr">
        <is>
          <t>no CSV authority</t>
        </is>
      </c>
      <c r="B84" s="126" t="n"/>
      <c r="C84" s="126" t="n"/>
      <c r="D84" s="126" t="n"/>
      <c r="E84" s="126" t="n"/>
      <c r="F84" s="126" t="n"/>
      <c r="G84" s="126" t="n"/>
      <c r="H84" s="126" t="n"/>
      <c r="I84" s="126" t="n"/>
      <c r="J84" s="126" t="n"/>
      <c r="K84" s="126" t="n"/>
    </row>
    <row r="85">
      <c r="A85" s="126" t="inlineStr">
        <is>
          <t>workbook wins</t>
        </is>
      </c>
      <c r="B85" s="126" t="n"/>
      <c r="C85" s="126" t="n"/>
      <c r="D85" s="126" t="n"/>
      <c r="E85" s="126" t="n"/>
      <c r="F85" s="126" t="n"/>
      <c r="G85" s="126" t="n"/>
      <c r="H85" s="126" t="n"/>
      <c r="I85" s="126" t="n"/>
      <c r="J85" s="126" t="n"/>
      <c r="K85" s="126" t="n"/>
    </row>
    <row r="86">
      <c r="A86" s="126" t="inlineStr">
        <is>
          <t>❗ WHAT I DID NOT DO (intentionally)</t>
        </is>
      </c>
      <c r="B86" s="126" t="n"/>
      <c r="C86" s="126" t="n"/>
      <c r="D86" s="126" t="n"/>
      <c r="E86" s="126" t="n"/>
      <c r="F86" s="126" t="n"/>
      <c r="G86" s="126" t="n"/>
      <c r="H86" s="126" t="n"/>
      <c r="I86" s="126" t="n"/>
      <c r="J86" s="126" t="n"/>
      <c r="K86" s="126" t="n"/>
    </row>
    <row r="87">
      <c r="A87" s="126" t="inlineStr">
        <is>
          <t>I did NOT:</t>
        </is>
      </c>
      <c r="B87" s="126" t="n"/>
      <c r="C87" s="126" t="n"/>
      <c r="D87" s="126" t="n"/>
      <c r="E87" s="126" t="n"/>
      <c r="F87" s="126" t="n"/>
      <c r="G87" s="126" t="n"/>
      <c r="H87" s="126" t="n"/>
      <c r="I87" s="126" t="n"/>
      <c r="J87" s="126" t="n"/>
      <c r="K87" s="126" t="n"/>
    </row>
    <row r="88">
      <c r="A88" s="126" t="inlineStr">
        <is>
          <t>delete or move CSVs yet</t>
        </is>
      </c>
      <c r="B88" s="126" t="n"/>
      <c r="C88" s="126" t="n"/>
      <c r="D88" s="126" t="n"/>
      <c r="E88" s="126" t="n"/>
      <c r="F88" s="126" t="n"/>
      <c r="G88" s="126" t="n"/>
      <c r="H88" s="126" t="n"/>
      <c r="I88" s="126" t="n"/>
      <c r="J88" s="126" t="n"/>
      <c r="K88" s="126" t="n"/>
    </row>
    <row r="89">
      <c r="A89" s="126" t="inlineStr">
        <is>
          <t>delete ROADMAP.md yet</t>
        </is>
      </c>
      <c r="B89" s="126" t="n"/>
      <c r="C89" s="126" t="n"/>
      <c r="D89" s="126" t="n"/>
      <c r="E89" s="126" t="n"/>
      <c r="F89" s="126" t="n"/>
      <c r="G89" s="126" t="n"/>
      <c r="H89" s="126" t="n"/>
      <c r="I89" s="126" t="n"/>
      <c r="J89" s="126" t="n"/>
      <c r="K89" s="126" t="n"/>
    </row>
    <row r="90">
      <c r="A90" s="126" t="inlineStr">
        <is>
          <t>Why?</t>
        </is>
      </c>
      <c r="B90" s="126" t="n"/>
      <c r="C90" s="126" t="n"/>
      <c r="D90" s="126" t="n"/>
      <c r="E90" s="126" t="n"/>
      <c r="F90" s="126" t="n"/>
      <c r="G90" s="126" t="n"/>
      <c r="H90" s="126" t="n"/>
      <c r="I90" s="126" t="n"/>
      <c r="J90" s="126" t="n"/>
      <c r="K90" s="126" t="n"/>
    </row>
    <row r="91">
      <c r="A91" s="126" t="inlineStr">
        <is>
          <t>👉 That should go in a separate PR you approve, because it’s destructive.</t>
        </is>
      </c>
      <c r="B91" s="126" t="n"/>
      <c r="C91" s="126" t="n"/>
      <c r="D91" s="126" t="n"/>
      <c r="E91" s="126" t="n"/>
      <c r="F91" s="126" t="n"/>
      <c r="G91" s="126" t="n"/>
      <c r="H91" s="126" t="n"/>
      <c r="I91" s="126" t="n"/>
      <c r="J91" s="126" t="n"/>
      <c r="K91" s="126" t="n"/>
    </row>
    <row r="92">
      <c r="A92" s="126" t="inlineStr">
        <is>
          <t>🚀 WHAT YOU SHOULD DO NEXT (GitHub)</t>
        </is>
      </c>
      <c r="B92" s="126" t="n"/>
      <c r="C92" s="126" t="n"/>
      <c r="D92" s="126" t="n"/>
      <c r="E92" s="126" t="n"/>
      <c r="F92" s="126" t="n"/>
      <c r="G92" s="126" t="n"/>
      <c r="H92" s="126" t="n"/>
      <c r="I92" s="126" t="n"/>
      <c r="J92" s="126" t="n"/>
      <c r="K92" s="126" t="n"/>
    </row>
    <row r="93">
      <c r="A93" s="126" t="inlineStr">
        <is>
          <t>Step 1 — Upload workbook</t>
        </is>
      </c>
      <c r="B93" s="126" t="n"/>
      <c r="C93" s="126" t="n"/>
      <c r="D93" s="126" t="n"/>
      <c r="E93" s="126" t="n"/>
      <c r="F93" s="126" t="n"/>
      <c r="G93" s="126" t="n"/>
      <c r="H93" s="126" t="n"/>
      <c r="I93" s="126" t="n"/>
      <c r="J93" s="126" t="n"/>
      <c r="K93" s="126" t="n"/>
    </row>
    <row r="94">
      <c r="A94" s="126" t="inlineStr">
        <is>
          <t>Replace:</t>
        </is>
      </c>
      <c r="B94" s="126" t="n"/>
      <c r="C94" s="126" t="n"/>
      <c r="D94" s="126" t="n"/>
      <c r="E94" s="126" t="n"/>
      <c r="F94" s="126" t="n"/>
      <c r="G94" s="126" t="n"/>
      <c r="H94" s="126" t="n"/>
      <c r="I94" s="126" t="n"/>
      <c r="J94" s="126" t="n"/>
      <c r="K94" s="126" t="n"/>
    </row>
    <row r="95">
      <c r="A95" s="126" t="inlineStr">
        <is>
          <t>docs/roadmap/RevisionGrade_System_Ledger_CURRENT.xlsx</t>
        </is>
      </c>
      <c r="B95" s="126" t="n"/>
      <c r="C95" s="126" t="n"/>
      <c r="D95" s="126" t="n"/>
      <c r="E95" s="126" t="n"/>
      <c r="F95" s="126" t="n"/>
      <c r="G95" s="126" t="n"/>
      <c r="H95" s="126" t="n"/>
      <c r="I95" s="126" t="n"/>
      <c r="J95" s="126" t="n"/>
      <c r="K95" s="126" t="n"/>
    </row>
    <row r="96">
      <c r="A96" s="126" t="inlineStr">
        <is>
          <t>with the file I gave you.</t>
        </is>
      </c>
      <c r="B96" s="126" t="n"/>
      <c r="C96" s="126" t="n"/>
      <c r="D96" s="126" t="n"/>
      <c r="E96" s="126" t="n"/>
      <c r="F96" s="126" t="n"/>
      <c r="G96" s="126" t="n"/>
      <c r="H96" s="126" t="n"/>
      <c r="I96" s="126" t="n"/>
      <c r="J96" s="126" t="n"/>
      <c r="K96" s="126" t="n"/>
    </row>
    <row r="97">
      <c r="A97" s="126" t="inlineStr">
        <is>
          <t>Step 2 — Open PR (recommended)</t>
        </is>
      </c>
      <c r="B97" s="126" t="n"/>
      <c r="C97" s="126" t="n"/>
      <c r="D97" s="126" t="n"/>
      <c r="E97" s="126" t="n"/>
      <c r="F97" s="126" t="n"/>
      <c r="G97" s="126" t="n"/>
      <c r="H97" s="126" t="n"/>
      <c r="I97" s="126" t="n"/>
      <c r="J97" s="126" t="n"/>
      <c r="K97" s="126" t="n"/>
    </row>
    <row r="98">
      <c r="A98" s="126" t="inlineStr">
        <is>
          <t>Title:</t>
        </is>
      </c>
      <c r="B98" s="126" t="n"/>
      <c r="C98" s="126" t="n"/>
      <c r="D98" s="126" t="n"/>
      <c r="E98" s="126" t="n"/>
      <c r="F98" s="126" t="n"/>
      <c r="G98" s="126" t="n"/>
      <c r="H98" s="126" t="n"/>
      <c r="I98" s="126" t="n"/>
      <c r="J98" s="126" t="n"/>
      <c r="K98" s="126" t="n"/>
    </row>
    <row r="99">
      <c r="A99" s="126" t="inlineStr">
        <is>
          <t>docs(roadmap): migrate to single workbook authority</t>
        </is>
      </c>
      <c r="B99" s="126" t="n"/>
      <c r="C99" s="126" t="n"/>
      <c r="D99" s="126" t="n"/>
      <c r="E99" s="126" t="n"/>
      <c r="F99" s="126" t="n"/>
      <c r="G99" s="126" t="n"/>
      <c r="H99" s="126" t="n"/>
      <c r="I99" s="126" t="n"/>
      <c r="J99" s="126" t="n"/>
      <c r="K99" s="126" t="n"/>
    </row>
    <row r="100">
      <c r="A100" s="126" t="inlineStr">
        <is>
          <t>Include:</t>
        </is>
      </c>
      <c r="B100" s="126" t="n"/>
      <c r="C100" s="126" t="n"/>
      <c r="D100" s="126" t="n"/>
      <c r="E100" s="126" t="n"/>
      <c r="F100" s="126" t="n"/>
      <c r="G100" s="126" t="n"/>
      <c r="H100" s="126" t="n"/>
      <c r="I100" s="126" t="n"/>
      <c r="J100" s="126" t="n"/>
      <c r="K100" s="126" t="n"/>
    </row>
    <row r="101">
      <c r="A101" s="126" t="inlineStr">
        <is>
          <t>new workbook</t>
        </is>
      </c>
      <c r="B101" s="126" t="n"/>
      <c r="C101" s="126" t="n"/>
      <c r="D101" s="126" t="n"/>
      <c r="E101" s="126" t="n"/>
      <c r="F101" s="126" t="n"/>
      <c r="G101" s="126" t="n"/>
      <c r="H101" s="126" t="n"/>
      <c r="I101" s="126" t="n"/>
      <c r="J101" s="126" t="n"/>
      <c r="K101" s="126" t="n"/>
    </row>
    <row r="102">
      <c r="A102" s="126" t="inlineStr">
        <is>
          <t>updated README (already pushed)</t>
        </is>
      </c>
      <c r="B102" s="126" t="n"/>
      <c r="C102" s="126" t="n"/>
      <c r="D102" s="126" t="n"/>
      <c r="E102" s="126" t="n"/>
      <c r="F102" s="126" t="n"/>
      <c r="G102" s="126" t="n"/>
      <c r="H102" s="126" t="n"/>
      <c r="I102" s="126" t="n"/>
      <c r="J102" s="126" t="n"/>
      <c r="K102" s="126" t="n"/>
    </row>
    <row r="103">
      <c r="A103" s="126" t="inlineStr">
        <is>
          <t>Step 3 — THEN archive (safe sequence)</t>
        </is>
      </c>
      <c r="B103" s="126" t="n"/>
      <c r="C103" s="126" t="n"/>
      <c r="D103" s="126" t="n"/>
      <c r="E103" s="126" t="n"/>
      <c r="F103" s="126" t="n"/>
      <c r="G103" s="126" t="n"/>
      <c r="H103" s="126" t="n"/>
      <c r="I103" s="126" t="n"/>
      <c r="J103" s="126" t="n"/>
      <c r="K103" s="126" t="n"/>
    </row>
    <row r="104">
      <c r="A104" s="126" t="inlineStr">
        <is>
          <t>In next PR:</t>
        </is>
      </c>
      <c r="B104" s="126" t="n"/>
      <c r="C104" s="126" t="n"/>
      <c r="D104" s="126" t="n"/>
      <c r="E104" s="126" t="n"/>
      <c r="F104" s="126" t="n"/>
      <c r="G104" s="126" t="n"/>
      <c r="H104" s="126" t="n"/>
      <c r="I104" s="126" t="n"/>
      <c r="J104" s="126" t="n"/>
      <c r="K104" s="126" t="n"/>
    </row>
    <row r="105">
      <c r="A105" s="126" t="inlineStr">
        <is>
          <t>docs/ROADMAP.md → docs/roadmap/archive/</t>
        </is>
      </c>
      <c r="B105" s="126" t="n"/>
      <c r="C105" s="126" t="n"/>
      <c r="D105" s="126" t="n"/>
      <c r="E105" s="126" t="n"/>
      <c r="F105" s="126" t="n"/>
      <c r="G105" s="126" t="n"/>
      <c r="H105" s="126" t="n"/>
      <c r="I105" s="126" t="n"/>
      <c r="J105" s="126" t="n"/>
      <c r="K105" s="126" t="n"/>
    </row>
    <row r="106">
      <c r="A106" s="126" t="inlineStr">
        <is>
          <t>docs/roadmap/*.csv → docs/roadmap/archive/</t>
        </is>
      </c>
      <c r="B106" s="126" t="n"/>
      <c r="C106" s="126" t="n"/>
      <c r="D106" s="126" t="n"/>
      <c r="E106" s="126" t="n"/>
      <c r="F106" s="126" t="n"/>
      <c r="G106" s="126" t="n"/>
      <c r="H106" s="126" t="n"/>
      <c r="I106" s="126" t="n"/>
      <c r="J106" s="126" t="n"/>
      <c r="K106" s="126" t="n"/>
    </row>
    <row r="107">
      <c r="A107" s="126" t="inlineStr">
        <is>
          <t>🧾 COPY-PASTE SUMMARY FOR GITHUB</t>
        </is>
      </c>
      <c r="B107" s="126" t="n"/>
      <c r="C107" s="126" t="n"/>
      <c r="D107" s="126" t="n"/>
      <c r="E107" s="126" t="n"/>
      <c r="F107" s="126" t="n"/>
      <c r="G107" s="126" t="n"/>
      <c r="H107" s="126" t="n"/>
      <c r="I107" s="126" t="n"/>
      <c r="J107" s="126" t="n"/>
      <c r="K107" s="126" t="n"/>
    </row>
    <row r="108">
      <c r="A108" s="126" t="inlineStr">
        <is>
          <t>## Roadmap Consolidation — Workbook Authority</t>
        </is>
      </c>
      <c r="B108" s="126" t="n"/>
      <c r="C108" s="126" t="n"/>
      <c r="D108" s="126" t="n"/>
      <c r="E108" s="126" t="n"/>
      <c r="F108" s="126" t="n"/>
      <c r="G108" s="126" t="n"/>
      <c r="H108" s="126" t="n"/>
      <c r="I108" s="126" t="n"/>
      <c r="J108" s="126" t="n"/>
      <c r="K108" s="126" t="n"/>
    </row>
    <row r="109">
      <c r="A109" s="126" t="inlineStr">
        <is>
          <t>This change migrates the RevisionGrade roadmap to a single authoritative workbook:</t>
        </is>
      </c>
      <c r="B109" s="126" t="n"/>
      <c r="C109" s="126" t="n"/>
      <c r="D109" s="126" t="n"/>
      <c r="E109" s="126" t="n"/>
      <c r="F109" s="126" t="n"/>
      <c r="G109" s="126" t="n"/>
      <c r="H109" s="126" t="n"/>
      <c r="I109" s="126" t="n"/>
      <c r="J109" s="126" t="n"/>
      <c r="K109" s="126" t="n"/>
    </row>
    <row r="110">
      <c r="A110" s="126" t="inlineStr">
        <is>
          <t>### Key Changes</t>
        </is>
      </c>
      <c r="B110" s="126" t="n"/>
      <c r="C110" s="126" t="n"/>
      <c r="D110" s="126" t="n"/>
      <c r="E110" s="126" t="n"/>
      <c r="F110" s="126" t="n"/>
      <c r="G110" s="126" t="n"/>
      <c r="H110" s="126" t="n"/>
      <c r="I110" s="126" t="n"/>
      <c r="J110" s="126" t="n"/>
      <c r="K110" s="126" t="n"/>
    </row>
    <row r="111">
      <c r="A111" s="126" t="inlineStr">
        <is>
          <t>- Workbook is now the ONLY source of truth</t>
        </is>
      </c>
      <c r="B111" s="126" t="n"/>
      <c r="C111" s="126" t="n"/>
      <c r="D111" s="126" t="n"/>
      <c r="E111" s="126" t="n"/>
      <c r="F111" s="126" t="n"/>
      <c r="G111" s="126" t="n"/>
      <c r="H111" s="126" t="n"/>
      <c r="I111" s="126" t="n"/>
      <c r="J111" s="126" t="n"/>
      <c r="K111" s="126" t="n"/>
    </row>
    <row r="112">
      <c r="A112" s="126" t="inlineStr">
        <is>
          <t>- README updated to enforce workbook authority</t>
        </is>
      </c>
      <c r="B112" s="126" t="n"/>
      <c r="C112" s="126" t="n"/>
      <c r="D112" s="126" t="n"/>
      <c r="E112" s="126" t="n"/>
      <c r="F112" s="126" t="n"/>
      <c r="G112" s="126" t="n"/>
      <c r="H112" s="126" t="n"/>
      <c r="I112" s="126" t="n"/>
      <c r="J112" s="126" t="n"/>
      <c r="K112" s="126" t="n"/>
    </row>
    <row r="113">
      <c r="A113" s="126" t="inlineStr">
        <is>
          <t>- CSV and Markdown roadmap files are no longer authoritative</t>
        </is>
      </c>
      <c r="B113" s="126" t="n"/>
      <c r="C113" s="126" t="n"/>
      <c r="D113" s="126" t="n"/>
      <c r="E113" s="126" t="n"/>
      <c r="F113" s="126" t="n"/>
      <c r="G113" s="126" t="n"/>
      <c r="H113" s="126" t="n"/>
      <c r="I113" s="126" t="n"/>
      <c r="J113" s="126" t="n"/>
      <c r="K113" s="126" t="n"/>
    </row>
    <row r="114">
      <c r="A114" s="126" t="inlineStr">
        <is>
          <t>### Workbook Updates</t>
        </is>
      </c>
      <c r="B114" s="126" t="n"/>
      <c r="C114" s="126" t="n"/>
      <c r="D114" s="126" t="n"/>
      <c r="E114" s="126" t="n"/>
      <c r="F114" s="126" t="n"/>
      <c r="G114" s="126" t="n"/>
      <c r="H114" s="126" t="n"/>
      <c r="I114" s="126" t="n"/>
      <c r="J114" s="126" t="n"/>
      <c r="K114" s="126" t="n"/>
    </row>
    <row r="115">
      <c r="A115" s="126" t="inlineStr">
        <is>
          <t>- Full worksheet structure added:</t>
        </is>
      </c>
      <c r="B115" s="126" t="n"/>
      <c r="C115" s="126" t="n"/>
      <c r="D115" s="126" t="n"/>
      <c r="E115" s="126" t="n"/>
      <c r="F115" s="126" t="n"/>
      <c r="G115" s="126" t="n"/>
      <c r="H115" s="126" t="n"/>
      <c r="I115" s="126" t="n"/>
      <c r="J115" s="126" t="n"/>
      <c r="K115" s="126" t="n"/>
    </row>
    <row r="116">
      <c r="A116" s="126" t="inlineStr">
        <is>
          <t xml:space="preserve">  README, Doctrine, Complete-Partially-Pending, Execution-Block, RCA-Batch-Plan, RCA-Link-Map, RCA-Script-Links, Enforcement-Scale, E2E-Script-Map, Canon-Code-Map, Change-Log, Source-Index, Summary</t>
        </is>
      </c>
      <c r="B116" s="126" t="n"/>
      <c r="C116" s="126" t="n"/>
      <c r="D116" s="126" t="n"/>
      <c r="E116" s="126" t="n"/>
      <c r="F116" s="126" t="n"/>
      <c r="G116" s="126" t="n"/>
      <c r="H116" s="126" t="n"/>
      <c r="I116" s="126" t="n"/>
      <c r="J116" s="126" t="n"/>
      <c r="K116" s="126" t="n"/>
    </row>
    <row r="117">
      <c r="A117" s="126" t="inlineStr">
        <is>
          <t>- System state corrected:</t>
        </is>
      </c>
      <c r="B117" s="126" t="n"/>
      <c r="C117" s="126" t="n"/>
      <c r="D117" s="126" t="n"/>
      <c r="E117" s="126" t="n"/>
      <c r="F117" s="126" t="n"/>
      <c r="G117" s="126" t="n"/>
      <c r="H117" s="126" t="n"/>
      <c r="I117" s="126" t="n"/>
      <c r="J117" s="126" t="n"/>
      <c r="K117" s="126" t="n"/>
    </row>
    <row r="118">
      <c r="A118" s="126" t="inlineStr">
        <is>
          <t xml:space="preserve">  U1 ENFORCED</t>
        </is>
      </c>
      <c r="B118" s="126" t="n"/>
      <c r="C118" s="126" t="n"/>
      <c r="D118" s="126" t="n"/>
      <c r="E118" s="126" t="n"/>
      <c r="F118" s="126" t="n"/>
      <c r="G118" s="126" t="n"/>
      <c r="H118" s="126" t="n"/>
      <c r="I118" s="126" t="n"/>
      <c r="J118" s="126" t="n"/>
      <c r="K118" s="126" t="n"/>
    </row>
    <row r="119">
      <c r="A119" s="126" t="inlineStr">
        <is>
          <t xml:space="preserve">  U2 PARTIAL</t>
        </is>
      </c>
      <c r="B119" s="126" t="n"/>
      <c r="C119" s="126" t="n"/>
      <c r="D119" s="126" t="n"/>
      <c r="E119" s="126" t="n"/>
      <c r="F119" s="126" t="n"/>
      <c r="G119" s="126" t="n"/>
      <c r="H119" s="126" t="n"/>
      <c r="I119" s="126" t="n"/>
      <c r="J119" s="126" t="n"/>
      <c r="K119" s="126" t="n"/>
    </row>
    <row r="120">
      <c r="A120" s="126" t="inlineStr">
        <is>
          <t xml:space="preserve">  U3 BLOCKED</t>
        </is>
      </c>
      <c r="B120" s="126" t="n"/>
      <c r="C120" s="126" t="n"/>
      <c r="D120" s="126" t="n"/>
      <c r="E120" s="126" t="n"/>
      <c r="F120" s="126" t="n"/>
      <c r="G120" s="126" t="n"/>
      <c r="H120" s="126" t="n"/>
      <c r="I120" s="126" t="n"/>
      <c r="J120" s="126" t="n"/>
      <c r="K120" s="126" t="n"/>
    </row>
    <row r="121">
      <c r="A121" s="126" t="inlineStr">
        <is>
          <t xml:space="preserve">  QUALITY NOT ENFORCED</t>
        </is>
      </c>
      <c r="B121" s="126" t="n"/>
      <c r="C121" s="126" t="n"/>
      <c r="D121" s="126" t="n"/>
      <c r="E121" s="126" t="n"/>
      <c r="F121" s="126" t="n"/>
      <c r="G121" s="126" t="n"/>
      <c r="H121" s="126" t="n"/>
      <c r="I121" s="126" t="n"/>
      <c r="J121" s="126" t="n"/>
      <c r="K121" s="126" t="n"/>
    </row>
    <row r="122">
      <c r="A122" s="126" t="inlineStr">
        <is>
          <t>- Added RCA-EVAL-QUALITY-001:</t>
        </is>
      </c>
      <c r="B122" s="126" t="n"/>
      <c r="C122" s="126" t="n"/>
      <c r="D122" s="126" t="n"/>
      <c r="E122" s="126" t="n"/>
      <c r="F122" s="126" t="n"/>
      <c r="G122" s="126" t="n"/>
      <c r="H122" s="126" t="n"/>
      <c r="I122" s="126" t="n"/>
      <c r="J122" s="126" t="n"/>
      <c r="K122" s="126" t="n"/>
    </row>
    <row r="123">
      <c r="A123" s="126" t="inlineStr">
        <is>
          <t xml:space="preserve">  Tracks generic recommendations, weak evidence binding, confidence-authority mismatch, and Pass 3 drift</t>
        </is>
      </c>
      <c r="B123" s="126" t="n"/>
      <c r="C123" s="126" t="n"/>
      <c r="D123" s="126" t="n"/>
      <c r="E123" s="126" t="n"/>
      <c r="F123" s="126" t="n"/>
      <c r="G123" s="126" t="n"/>
      <c r="H123" s="126" t="n"/>
      <c r="I123" s="126" t="n"/>
      <c r="J123" s="126" t="n"/>
      <c r="K123" s="126" t="n"/>
    </row>
    <row r="124">
      <c r="A124" s="126" t="inlineStr">
        <is>
          <t>### Result</t>
        </is>
      </c>
      <c r="B124" s="126" t="n"/>
      <c r="C124" s="126" t="n"/>
      <c r="D124" s="126" t="n"/>
      <c r="E124" s="126" t="n"/>
      <c r="F124" s="126" t="n"/>
      <c r="G124" s="126" t="n"/>
      <c r="H124" s="126" t="n"/>
      <c r="I124" s="126" t="n"/>
      <c r="J124" s="126" t="n"/>
      <c r="K124" s="126" t="n"/>
    </row>
    <row r="125">
      <c r="A125" s="126" t="inlineStr">
        <is>
          <t>- Eliminates roadmap drift across .md / .csv / .xlsx</t>
        </is>
      </c>
      <c r="B125" s="126" t="n"/>
      <c r="C125" s="126" t="n"/>
      <c r="D125" s="126" t="n"/>
      <c r="E125" s="126" t="n"/>
      <c r="F125" s="126" t="n"/>
      <c r="G125" s="126" t="n"/>
      <c r="H125" s="126" t="n"/>
      <c r="I125" s="126" t="n"/>
      <c r="J125" s="126" t="n"/>
      <c r="K125" s="126" t="n"/>
    </row>
    <row r="126">
      <c r="A126" s="126" t="inlineStr">
        <is>
          <t>- Aligns roadmap with RCA enforcement doctrine</t>
        </is>
      </c>
      <c r="B126" s="126" t="n"/>
      <c r="C126" s="126" t="n"/>
      <c r="D126" s="126" t="n"/>
      <c r="E126" s="126" t="n"/>
      <c r="F126" s="126" t="n"/>
      <c r="G126" s="126" t="n"/>
      <c r="H126" s="126" t="n"/>
      <c r="I126" s="126" t="n"/>
      <c r="J126" s="126" t="n"/>
      <c r="K126" s="126" t="n"/>
    </row>
    <row r="127">
      <c r="A127" s="126" t="inlineStr">
        <is>
          <t>- Centralizes all system truth into one artifact</t>
        </is>
      </c>
      <c r="B127" s="126" t="n"/>
      <c r="C127" s="126" t="n"/>
      <c r="D127" s="126" t="n"/>
      <c r="E127" s="126" t="n"/>
      <c r="F127" s="126" t="n"/>
      <c r="G127" s="126" t="n"/>
      <c r="H127" s="126" t="n"/>
      <c r="I127" s="126" t="n"/>
      <c r="J127" s="126" t="n"/>
      <c r="K127" s="126" t="n"/>
    </row>
    <row r="128">
      <c r="A128" s="126" t="inlineStr">
        <is>
          <t>&gt; If it is not in the workbook, it is not real.</t>
        </is>
      </c>
      <c r="B128" s="126" t="n"/>
      <c r="C128" s="126" t="n"/>
      <c r="D128" s="126" t="n"/>
      <c r="E128" s="126" t="n"/>
      <c r="F128" s="126" t="n"/>
      <c r="G128" s="126" t="n"/>
      <c r="H128" s="126" t="n"/>
      <c r="I128" s="126" t="n"/>
      <c r="J128" s="126" t="n"/>
      <c r="K128" s="126" t="n"/>
    </row>
    <row r="129">
      <c r="A129" s="126" t="inlineStr">
        <is>
          <t>🧠 Bottom Line</t>
        </is>
      </c>
      <c r="B129" s="126" t="n"/>
      <c r="C129" s="126" t="n"/>
      <c r="D129" s="126" t="n"/>
      <c r="E129" s="126" t="n"/>
      <c r="F129" s="126" t="n"/>
      <c r="G129" s="126" t="n"/>
      <c r="H129" s="126" t="n"/>
      <c r="I129" s="126" t="n"/>
      <c r="J129" s="126" t="n"/>
      <c r="K129" s="126" t="n"/>
    </row>
    <row r="130">
      <c r="A130" s="126" t="inlineStr">
        <is>
          <t>You now have:</t>
        </is>
      </c>
      <c r="B130" s="126" t="n"/>
      <c r="C130" s="126" t="n"/>
      <c r="D130" s="126" t="n"/>
      <c r="E130" s="126" t="n"/>
      <c r="F130" s="126" t="n"/>
      <c r="G130" s="126" t="n"/>
      <c r="H130" s="126" t="n"/>
      <c r="I130" s="126" t="n"/>
      <c r="J130" s="126" t="n"/>
      <c r="K130" s="126" t="n"/>
    </row>
    <row r="131">
      <c r="A131" s="126" t="inlineStr">
        <is>
          <t>✔ a real authoritative system ledger</t>
        </is>
      </c>
      <c r="B131" s="126" t="n"/>
      <c r="C131" s="126" t="n"/>
      <c r="D131" s="126" t="n"/>
      <c r="E131" s="126" t="n"/>
      <c r="F131" s="126" t="n"/>
      <c r="G131" s="126" t="n"/>
      <c r="H131" s="126" t="n"/>
      <c r="I131" s="126" t="n"/>
      <c r="J131" s="126" t="n"/>
      <c r="K131" s="126" t="n"/>
    </row>
    <row r="132">
      <c r="A132" s="126" t="inlineStr">
        <is>
          <t>✔ no more split truth</t>
        </is>
      </c>
      <c r="B132" s="126" t="n"/>
      <c r="C132" s="126" t="n"/>
      <c r="D132" s="126" t="n"/>
      <c r="E132" s="126" t="n"/>
      <c r="F132" s="126" t="n"/>
      <c r="G132" s="126" t="n"/>
      <c r="H132" s="126" t="n"/>
      <c r="I132" s="126" t="n"/>
      <c r="J132" s="126" t="n"/>
      <c r="K132" s="126" t="n"/>
    </row>
    <row r="133">
      <c r="A133" s="126" t="inlineStr">
        <is>
          <t>✔ quality explicitly tracked as enforcement</t>
        </is>
      </c>
      <c r="B133" s="126" t="n"/>
      <c r="C133" s="126" t="n"/>
      <c r="D133" s="126" t="n"/>
      <c r="E133" s="126" t="n"/>
      <c r="F133" s="126" t="n"/>
      <c r="G133" s="126" t="n"/>
      <c r="H133" s="126" t="n"/>
      <c r="I133" s="126" t="n"/>
      <c r="J133" s="126" t="n"/>
      <c r="K133" s="126" t="n"/>
    </row>
    <row r="134">
      <c r="A134" s="126" t="inlineStr">
        <is>
          <t>✔ repo aligned with doctrine</t>
        </is>
      </c>
      <c r="B134" s="126" t="n"/>
      <c r="C134" s="126" t="n"/>
      <c r="D134" s="126" t="n"/>
      <c r="E134" s="126" t="n"/>
      <c r="F134" s="126" t="n"/>
      <c r="G134" s="126" t="n"/>
      <c r="H134" s="126" t="n"/>
      <c r="I134" s="126" t="n"/>
      <c r="J134" s="126" t="n"/>
      <c r="K134" s="126" t="n"/>
    </row>
    <row r="135">
      <c r="A135" s="271" t="inlineStr">
        <is>
          <t>2026-04-28 Reconciliation Addendum</t>
        </is>
      </c>
      <c r="B135" s="271" t="n"/>
      <c r="C135" s="271" t="n"/>
      <c r="D135" s="271" t="n"/>
      <c r="E135" s="271" t="n"/>
      <c r="F135" s="271" t="n"/>
      <c r="G135" s="271" t="n"/>
      <c r="H135" s="271" t="n"/>
      <c r="I135" s="271" t="n"/>
      <c r="J135" s="271" t="n"/>
      <c r="K135" s="271" t="n"/>
    </row>
    <row r="136">
      <c r="A136" s="271" t="inlineStr">
        <is>
          <t>Scope</t>
        </is>
      </c>
      <c r="B136" s="271" t="inlineStr">
        <is>
          <t>This version is not merely a workbook merge; it adds a ledger reconciliation pass against the attached recent evidence.</t>
        </is>
      </c>
      <c r="C136" s="126" t="n"/>
      <c r="D136" s="126" t="n"/>
      <c r="E136" s="126" t="n"/>
      <c r="F136" s="126" t="n"/>
      <c r="G136" s="126" t="n"/>
      <c r="H136" s="126" t="n"/>
      <c r="I136" s="126" t="n"/>
      <c r="J136" s="126" t="n"/>
      <c r="K136" s="126" t="n"/>
    </row>
    <row r="137">
      <c r="A137" s="271" t="inlineStr">
        <is>
          <t>Audit</t>
        </is>
      </c>
      <c r="B137" s="271" t="inlineStr">
        <is>
          <t>See LEDGER_RECONCILIATION_AUDIT for sheet-by-sheet review and applied updates.</t>
        </is>
      </c>
      <c r="C137" s="126" t="n"/>
      <c r="D137" s="126" t="n"/>
      <c r="E137" s="126" t="n"/>
      <c r="F137" s="126" t="n"/>
      <c r="G137" s="126" t="n"/>
      <c r="H137" s="126" t="n"/>
      <c r="I137" s="126" t="n"/>
      <c r="J137" s="126" t="n"/>
      <c r="K137" s="126" t="n"/>
    </row>
    <row r="138">
      <c r="A138" s="271" t="inlineStr">
        <is>
          <t>Authority</t>
        </is>
      </c>
      <c r="B138" s="271" t="inlineStr">
        <is>
          <t>ONE_MASTER remains workbook authority; CSV/Markdown are not parallel sources of truth.</t>
        </is>
      </c>
      <c r="C138" s="126" t="n"/>
      <c r="D138" s="126" t="n"/>
      <c r="E138" s="126" t="n"/>
      <c r="F138" s="126" t="n"/>
      <c r="G138" s="126" t="n"/>
      <c r="H138" s="126" t="n"/>
      <c r="I138" s="126" t="n"/>
      <c r="J138" s="126" t="n"/>
      <c r="K138" s="126" t="n"/>
    </row>
  </sheetData>
  <mergeCells count="2">
    <mergeCell ref="A1:D1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39999961853027"/>
  <cols>
    <col width="18" customWidth="1" style="213" min="1" max="1"/>
    <col width="18" customWidth="1" style="213" min="2" max="2"/>
  </cols>
  <sheetData>
    <row r="1" ht="23.39999961853027" customHeight="1" s="213">
      <c r="A1" s="266" t="inlineStr">
        <is>
          <t>RevisionGrade Roadmap System — Current Accurate Version</t>
        </is>
      </c>
      <c r="B1" s="266" t="n"/>
    </row>
    <row r="2">
      <c r="A2" s="126" t="n"/>
      <c r="B2" s="126" t="n"/>
    </row>
    <row r="3" ht="18" customHeight="1" s="213">
      <c r="A3" s="272" t="inlineStr">
        <is>
          <t>System status</t>
        </is>
      </c>
      <c r="B3" s="126" t="n"/>
    </row>
    <row r="4">
      <c r="A4" s="126" t="n"/>
      <c r="B4" s="126" t="n"/>
    </row>
    <row r="5">
      <c r="A5" s="273" t="inlineStr">
        <is>
          <t>SYSTEM_STATUS: EXECUTION_STABLE</t>
        </is>
      </c>
      <c r="B5" s="126" t="n"/>
    </row>
    <row r="6">
      <c r="A6" s="273" t="inlineStr">
        <is>
          <t>FAILURE_VISIBILITY: HIGH</t>
        </is>
      </c>
      <c r="B6" s="126" t="n"/>
    </row>
    <row r="7">
      <c r="A7" s="273" t="inlineStr">
        <is>
          <t>TRUTH_ENFORCEMENT: IN_PROGRESS</t>
        </is>
      </c>
      <c r="B7" s="126" t="n"/>
    </row>
    <row r="8">
      <c r="A8" s="273" t="inlineStr">
        <is>
          <t>PRIMARY_BLOCKER: U2_PROPAGATION_ENFORCEMENT</t>
        </is>
      </c>
      <c r="B8" s="126" t="n"/>
    </row>
    <row r="9">
      <c r="A9" s="273" t="inlineStr">
        <is>
          <t>SECONDARY_BLOCKER: PASS_1_OUTPUT_FEASIBILITY</t>
        </is>
      </c>
      <c r="B9" s="126" t="n"/>
    </row>
    <row r="10">
      <c r="A10" s="273" t="inlineStr">
        <is>
          <t>ACTIVE_LLR_TRACK: LLR-004 CLASSIFICATION / CALIBRATION</t>
        </is>
      </c>
      <c r="B10" s="126" t="n"/>
    </row>
    <row r="11">
      <c r="A11" s="126" t="n"/>
      <c r="B11" s="126" t="n"/>
    </row>
    <row r="12">
      <c r="A12" s="126" t="n"/>
      <c r="B12" s="126" t="n"/>
    </row>
    <row r="13">
      <c r="A13" s="126" t="n"/>
      <c r="B13" s="126" t="n"/>
    </row>
    <row r="14" ht="23.39999961853027" customHeight="1" s="213">
      <c r="A14" s="274" t="inlineStr">
        <is>
          <t>Completed / Enforced</t>
        </is>
      </c>
      <c r="B14" s="126" t="n"/>
    </row>
    <row r="15">
      <c r="A15" s="126" t="n"/>
      <c r="B15" s="126" t="n"/>
    </row>
    <row r="16" ht="18" customHeight="1" s="213">
      <c r="A16" s="272" t="inlineStr">
        <is>
          <t>BLOCK_B_ATOMICITY — ENFORCED</t>
        </is>
      </c>
      <c r="B16" s="126" t="n"/>
    </row>
    <row r="17">
      <c r="A17" s="126" t="n"/>
      <c r="B17" s="126" t="n"/>
    </row>
    <row r="18">
      <c r="A18" s="273" t="inlineStr">
        <is>
          <t>PR #241: persist_evaluation_v2_atomic RPC added</t>
        </is>
      </c>
      <c r="B18" s="126" t="n"/>
    </row>
    <row r="19">
      <c r="A19" s="273" t="inlineStr">
        <is>
          <t>PR #242: V2 persistence success path switched to atomic RPC</t>
        </is>
      </c>
      <c r="B19" s="126" t="n"/>
    </row>
    <row r="20">
      <c r="A20" s="273" t="inlineStr">
        <is>
          <t>PR #243: RPC ambiguity hotfix merged</t>
        </is>
      </c>
      <c r="B20" s="126" t="n"/>
    </row>
    <row r="21">
      <c r="A21" s="273" t="inlineStr">
        <is>
          <t>DB migration applied</t>
        </is>
      </c>
      <c r="B21" s="126" t="n"/>
    </row>
    <row r="22">
      <c r="A22" s="273" t="inlineStr">
        <is>
          <t>service_role EXECUTE verified</t>
        </is>
      </c>
      <c r="B22" s="126" t="n"/>
    </row>
    <row r="23">
      <c r="A23" s="273" t="inlineStr">
        <is>
          <t>Production success-path empirically proven:</t>
        </is>
      </c>
      <c r="B23" s="126" t="n"/>
    </row>
    <row r="24">
      <c r="A24" s="273" t="inlineStr">
        <is>
          <t>job 29089ed6-0fc7-485b-a699-56498b950295</t>
        </is>
      </c>
      <c r="B24" s="126" t="n"/>
    </row>
    <row r="25">
      <c r="A25" s="273" t="inlineStr">
        <is>
          <t>artifact af699bd8-1618-4971-a097-b4345f3e7733</t>
        </is>
      </c>
      <c r="B25" s="126" t="n"/>
    </row>
    <row r="26">
      <c r="A26" s="126" t="n"/>
      <c r="B26" s="126" t="n"/>
    </row>
    <row r="27">
      <c r="A27" s="275" t="inlineStr">
        <is>
          <t>Status:</t>
        </is>
      </c>
      <c r="B27" s="126" t="n"/>
    </row>
    <row r="28">
      <c r="A28" s="126" t="n"/>
      <c r="B28" s="126" t="n"/>
    </row>
    <row r="29">
      <c r="A29" s="273" t="inlineStr">
        <is>
          <t>ENFORCED</t>
        </is>
      </c>
      <c r="B29" s="126" t="n"/>
    </row>
    <row r="30">
      <c r="A30" s="126" t="n"/>
      <c r="B30" s="126" t="n"/>
    </row>
    <row r="31">
      <c r="A31" s="126" t="n"/>
      <c r="B31" s="126" t="n"/>
    </row>
    <row r="32">
      <c r="A32" s="126" t="n"/>
      <c r="B32" s="126" t="n"/>
    </row>
    <row r="33" ht="18" customHeight="1" s="213">
      <c r="A33" s="272" t="inlineStr">
        <is>
          <t>RELIABILITY_GATE — ENFORCED</t>
        </is>
      </c>
      <c r="B33" s="126" t="n"/>
    </row>
    <row r="34">
      <c r="A34" s="126" t="n"/>
      <c r="B34" s="126" t="n"/>
    </row>
    <row r="35">
      <c r="A35" s="273" t="inlineStr">
        <is>
          <t>100k soak passed</t>
        </is>
      </c>
      <c r="B35" s="126" t="n"/>
    </row>
    <row r="36">
      <c r="A36" s="273" t="inlineStr">
        <is>
          <t>0 unclassified failures</t>
        </is>
      </c>
      <c r="B36" s="126" t="n"/>
    </row>
    <row r="37">
      <c r="A37" s="273" t="inlineStr">
        <is>
          <t>0 wrong-location edits</t>
        </is>
      </c>
      <c r="B37" s="126" t="n"/>
    </row>
    <row r="38">
      <c r="A38" s="273" t="inlineStr">
        <is>
          <t>0 lost writes</t>
        </is>
      </c>
      <c r="B38" s="126" t="n"/>
    </row>
    <row r="39">
      <c r="A39" s="273" t="inlineStr">
        <is>
          <t>0 non-canonical statuses</t>
        </is>
      </c>
      <c r="B39" s="126" t="n"/>
    </row>
    <row r="40">
      <c r="A40" s="273" t="inlineStr">
        <is>
          <t>0 silent fallbacks</t>
        </is>
      </c>
      <c r="B40" s="126" t="n"/>
    </row>
    <row r="41">
      <c r="A41" s="126" t="n"/>
      <c r="B41" s="126" t="n"/>
    </row>
    <row r="42">
      <c r="A42" s="275" t="inlineStr">
        <is>
          <t>Status:</t>
        </is>
      </c>
      <c r="B42" s="126" t="n"/>
    </row>
    <row r="43">
      <c r="A43" s="126" t="n"/>
      <c r="B43" s="126" t="n"/>
    </row>
    <row r="44">
      <c r="A44" s="273" t="inlineStr">
        <is>
          <t>ENFORCED</t>
        </is>
      </c>
      <c r="B44" s="126" t="n"/>
    </row>
    <row r="45">
      <c r="A45" s="126" t="n"/>
      <c r="B45" s="126" t="n"/>
    </row>
    <row r="46">
      <c r="A46" s="126" t="n"/>
      <c r="B46" s="126" t="n"/>
    </row>
    <row r="47">
      <c r="A47" s="126" t="n"/>
      <c r="B47" s="126" t="n"/>
    </row>
    <row r="48" ht="18" customHeight="1" s="213">
      <c r="A48" s="272" t="inlineStr">
        <is>
          <t>DIALOGUE_ATTRIBUTION_GATE_V2 — ENFORCED at gate level</t>
        </is>
      </c>
      <c r="B48" s="126" t="n"/>
    </row>
    <row r="49">
      <c r="A49" s="126" t="n"/>
      <c r="B49" s="126" t="n"/>
    </row>
    <row r="50">
      <c r="A50" s="273" t="inlineStr">
        <is>
          <t>Gate-level fix validated.</t>
        </is>
      </c>
      <c r="B50" s="126" t="n"/>
    </row>
    <row r="51">
      <c r="A51" s="273" t="inlineStr">
        <is>
          <t>No current evidence that QG_DIALOGUE_ATTRIBUTION_UNDERAUDITED remains the active blocker on reachable post-fix runs.</t>
        </is>
      </c>
      <c r="B51" s="126" t="n"/>
    </row>
    <row r="52">
      <c r="A52" s="126" t="n"/>
      <c r="B52" s="126" t="n"/>
    </row>
    <row r="53">
      <c r="A53" s="275" t="inlineStr">
        <is>
          <t>Status:</t>
        </is>
      </c>
      <c r="B53" s="126" t="n"/>
    </row>
    <row r="54">
      <c r="A54" s="126" t="n"/>
      <c r="B54" s="126" t="n"/>
    </row>
    <row r="55">
      <c r="A55" s="273" t="inlineStr">
        <is>
          <t>ENFORCED, with continued monitoring</t>
        </is>
      </c>
      <c r="B55" s="126" t="n"/>
    </row>
    <row r="56">
      <c r="A56" s="126" t="n"/>
      <c r="B56" s="126" t="n"/>
    </row>
    <row r="57">
      <c r="A57" s="126" t="n"/>
      <c r="B57" s="126" t="n"/>
    </row>
    <row r="58">
      <c r="A58" s="126" t="n"/>
      <c r="B58" s="126" t="n"/>
    </row>
    <row r="59" ht="18" customHeight="1" s="213">
      <c r="A59" s="272" t="inlineStr">
        <is>
          <t>PHASE_1_OBSERVABILITY — STRUCTURAL ENFORCED / EMPIRICAL PARTIAL</t>
        </is>
      </c>
      <c r="B59" s="126" t="n"/>
    </row>
    <row r="60">
      <c r="A60" s="126" t="n"/>
      <c r="B60" s="126" t="n"/>
    </row>
    <row r="61">
      <c r="A61" s="273" t="inlineStr">
        <is>
          <t>Failure envelopes now exist on current paths.</t>
        </is>
      </c>
      <c r="B61" s="126" t="n"/>
    </row>
    <row r="62">
      <c r="A62" s="273" t="inlineStr">
        <is>
          <t>Older jobs correctly show null envelopes.</t>
        </is>
      </c>
      <c r="B62" s="126" t="n"/>
    </row>
    <row r="63">
      <c r="A63" s="273" t="inlineStr">
        <is>
          <t>Some PASS1 / LLR paths still need empirical proof and/or final catch-site hardening.</t>
        </is>
      </c>
      <c r="B63" s="126" t="n"/>
    </row>
    <row r="64">
      <c r="A64" s="126" t="n"/>
      <c r="B64" s="126" t="n"/>
    </row>
    <row r="65">
      <c r="A65" s="275" t="inlineStr">
        <is>
          <t>Status:</t>
        </is>
      </c>
      <c r="B65" s="126" t="n"/>
    </row>
    <row r="66">
      <c r="A66" s="126" t="n"/>
      <c r="B66" s="126" t="n"/>
    </row>
    <row r="67">
      <c r="A67" s="273" t="inlineStr">
        <is>
          <t>STRUCTURAL_ENFORCED</t>
        </is>
      </c>
      <c r="B67" s="126" t="n"/>
    </row>
    <row r="68">
      <c r="A68" s="273" t="inlineStr">
        <is>
          <t>EMPIRICAL_PARTIAL</t>
        </is>
      </c>
      <c r="B68" s="126" t="n"/>
    </row>
    <row r="69">
      <c r="A69" s="126" t="n"/>
      <c r="B69" s="126" t="n"/>
    </row>
    <row r="70">
      <c r="A70" s="126" t="n"/>
      <c r="B70" s="126" t="n"/>
    </row>
    <row r="71">
      <c r="A71" s="126" t="n"/>
      <c r="B71" s="126" t="n"/>
    </row>
    <row r="72" ht="23.39999961853027" customHeight="1" s="213">
      <c r="A72" s="274" t="inlineStr">
        <is>
          <t>Open / Active</t>
        </is>
      </c>
      <c r="B72" s="126" t="n"/>
    </row>
    <row r="73">
      <c r="A73" s="126" t="n"/>
      <c r="B73" s="126" t="n"/>
    </row>
    <row r="74" ht="18" customHeight="1" s="213">
      <c r="A74" s="272" t="inlineStr">
        <is>
          <t>U2_PROPAGATION_ENFORCEMENT — PRIMARY BLOCKER</t>
        </is>
      </c>
      <c r="B74" s="126" t="n"/>
    </row>
    <row r="75">
      <c r="A75" s="126" t="n"/>
      <c r="B75" s="126" t="n"/>
    </row>
    <row r="76">
      <c r="A76" s="275" t="inlineStr">
        <is>
          <t>Problem:</t>
        </is>
      </c>
      <c r="B76" s="126" t="n"/>
    </row>
    <row r="77">
      <c r="A77" s="126" t="n"/>
      <c r="B77" s="126" t="n"/>
    </row>
    <row r="78">
      <c r="A78" s="273" t="inlineStr">
        <is>
          <t>The system detects uncertainty but does not yet enforce consequences.</t>
        </is>
      </c>
      <c r="B78" s="126" t="n"/>
    </row>
    <row r="79">
      <c r="A79" s="273" t="inlineStr">
        <is>
          <t>Weak evidence can still coexist with confident summary/authority.</t>
        </is>
      </c>
      <c r="B79" s="126" t="n"/>
    </row>
    <row r="80">
      <c r="A80" s="126" t="n"/>
      <c r="B80" s="126" t="n"/>
    </row>
    <row r="81">
      <c r="A81" s="275" t="inlineStr">
        <is>
          <t>Required RCA Batch 2:</t>
        </is>
      </c>
      <c r="B81" s="126" t="n"/>
    </row>
    <row r="82">
      <c r="A82" s="126" t="n"/>
      <c r="B82" s="126" t="n"/>
    </row>
    <row r="83">
      <c r="A83" s="273" t="inlineStr">
        <is>
          <t>RCA-U2-001: Score / confidence mismatch</t>
        </is>
      </c>
      <c r="B83" s="126" t="n"/>
    </row>
    <row r="84">
      <c r="A84" s="273" t="inlineStr">
        <is>
          <t>RCA-U2-002: Summary washing</t>
        </is>
      </c>
      <c r="B84" s="126" t="n"/>
    </row>
    <row r="85">
      <c r="A85" s="273" t="inlineStr">
        <is>
          <t>RCA-U2-003: UI authority overstatement</t>
        </is>
      </c>
      <c r="B85" s="126" t="n"/>
    </row>
    <row r="86">
      <c r="A86" s="273" t="inlineStr">
        <is>
          <t>RCA-U2-004: Confidence not deterministically derived</t>
        </is>
      </c>
      <c r="B86" s="126" t="n"/>
    </row>
    <row r="87">
      <c r="A87" s="273" t="inlineStr">
        <is>
          <t>RCA-U2-005: Missing propagation aggregation</t>
        </is>
      </c>
      <c r="B87" s="126" t="n"/>
    </row>
    <row r="88">
      <c r="A88" s="126" t="n"/>
      <c r="B88" s="126" t="n"/>
    </row>
    <row r="89">
      <c r="A89" s="275" t="inlineStr">
        <is>
          <t>Files:</t>
        </is>
      </c>
      <c r="B89" s="126" t="n"/>
    </row>
    <row r="90">
      <c r="A90" s="126" t="n"/>
      <c r="B90" s="126" t="n"/>
    </row>
    <row r="91">
      <c r="A91" s="273" t="inlineStr">
        <is>
          <t>qualityGate.ts</t>
        </is>
      </c>
      <c r="B91" s="126" t="n"/>
    </row>
    <row r="92">
      <c r="A92" s="273" t="inlineStr">
        <is>
          <t>runPipeline.ts</t>
        </is>
      </c>
      <c r="B92" s="126" t="n"/>
    </row>
    <row r="93">
      <c r="A93" s="273" t="inlineStr">
        <is>
          <t>runPass3Synthesis.ts</t>
        </is>
      </c>
      <c r="B93" s="126" t="n"/>
    </row>
    <row r="94">
      <c r="A94" s="273" t="inlineStr">
        <is>
          <t>persistEvaluationResultV2.ts</t>
        </is>
      </c>
      <c r="B94" s="126" t="n"/>
    </row>
    <row r="95">
      <c r="A95" s="273" t="inlineStr">
        <is>
          <t>warningClassification.ts</t>
        </is>
      </c>
      <c r="B95" s="126" t="n"/>
    </row>
    <row r="96">
      <c r="A96" s="273" t="inlineStr">
        <is>
          <t>evaluation-result-v2.ts</t>
        </is>
      </c>
      <c r="B96" s="126" t="n"/>
    </row>
    <row r="97">
      <c r="A97" s="273" t="inlineStr">
        <is>
          <t>confidenceDerivation.ts</t>
        </is>
      </c>
      <c r="B97" s="126" t="n"/>
    </row>
    <row r="98">
      <c r="A98" s="273" t="inlineStr">
        <is>
          <t>tests / PV115 golden fixture</t>
        </is>
      </c>
      <c r="B98" s="126" t="n"/>
    </row>
    <row r="99">
      <c r="A99" s="126" t="n"/>
      <c r="B99" s="126" t="n"/>
    </row>
    <row r="100">
      <c r="A100" s="275" t="inlineStr">
        <is>
          <t>Status:</t>
        </is>
      </c>
      <c r="B100" s="126" t="n"/>
    </row>
    <row r="101">
      <c r="A101" s="126" t="n"/>
      <c r="B101" s="126" t="n"/>
    </row>
    <row r="102">
      <c r="A102" s="273" t="inlineStr">
        <is>
          <t>NOT_STARTED / NEXT ACTIVE EXECUTION BLOCK</t>
        </is>
      </c>
      <c r="B102" s="126" t="n"/>
    </row>
    <row r="103">
      <c r="A103" s="126" t="n"/>
      <c r="B103" s="126" t="n"/>
    </row>
    <row r="104">
      <c r="A104" s="126" t="n"/>
      <c r="B104" s="126" t="n"/>
    </row>
    <row r="105">
      <c r="A105" s="126" t="n"/>
      <c r="B105" s="126" t="n"/>
    </row>
    <row r="106" ht="18" customHeight="1" s="213">
      <c r="A106" s="272" t="inlineStr">
        <is>
          <t>PASS_1_OUTPUT_FEASIBILITY — SECONDARY BLOCKER</t>
        </is>
      </c>
      <c r="B106" s="126" t="n"/>
    </row>
    <row r="107">
      <c r="A107" s="126" t="n"/>
      <c r="B107" s="126" t="n"/>
    </row>
    <row r="108">
      <c r="A108" s="275" t="inlineStr">
        <is>
          <t>Problem:</t>
        </is>
      </c>
      <c r="B108" s="126" t="n"/>
    </row>
    <row r="109">
      <c r="A109" s="126" t="n"/>
      <c r="B109" s="126" t="n"/>
    </row>
    <row r="110">
      <c r="A110" s="273" t="inlineStr">
        <is>
          <t>Pass 1 frequently exceeds output capacity:</t>
        </is>
      </c>
      <c r="B110" s="126" t="n"/>
    </row>
    <row r="111">
      <c r="A111" s="273" t="inlineStr">
        <is>
          <t>finish_reason=length</t>
        </is>
      </c>
      <c r="B111" s="126" t="n"/>
    </row>
    <row r="112">
      <c r="A112" s="273" t="inlineStr">
        <is>
          <t>completion_tokens=3500</t>
        </is>
      </c>
      <c r="B112" s="126" t="n"/>
    </row>
    <row r="113">
      <c r="A113" s="273" t="inlineStr">
        <is>
          <t>empty response</t>
        </is>
      </c>
      <c r="B113" s="126" t="n"/>
    </row>
    <row r="114">
      <c r="A114" s="273" t="inlineStr">
        <is>
          <t>PASS1_FAILED</t>
        </is>
      </c>
      <c r="B114" s="126" t="n"/>
    </row>
    <row r="115">
      <c r="A115" s="126" t="n"/>
      <c r="B115" s="126" t="n"/>
    </row>
    <row r="116">
      <c r="A116" s="275" t="inlineStr">
        <is>
          <t>Correct framing:</t>
        </is>
      </c>
      <c r="B116" s="126" t="n"/>
    </row>
    <row r="117">
      <c r="A117" s="126" t="n"/>
      <c r="B117" s="126" t="n"/>
    </row>
    <row r="118">
      <c r="A118" s="273" t="inlineStr">
        <is>
          <t>PASS1 is not the main truth-enforcement priority.</t>
        </is>
      </c>
      <c r="B118" s="126" t="n"/>
    </row>
    <row r="119">
      <c r="A119" s="273" t="inlineStr">
        <is>
          <t>PASS1 is the reachability blocker that prevents U2 from being empirically exercised.</t>
        </is>
      </c>
      <c r="B119" s="126" t="n"/>
    </row>
    <row r="120">
      <c r="A120" s="126" t="n"/>
      <c r="B120" s="126" t="n"/>
    </row>
    <row r="121">
      <c r="A121" s="275" t="inlineStr">
        <is>
          <t>Minimal fix only:</t>
        </is>
      </c>
      <c r="B121" s="126" t="n"/>
    </row>
    <row r="122">
      <c r="A122" s="126" t="n"/>
      <c r="B122" s="126" t="n"/>
    </row>
    <row r="123">
      <c r="A123" s="273" t="inlineStr">
        <is>
          <t>Reduce Pass 1 output surface</t>
        </is>
      </c>
      <c r="B123" s="126" t="n"/>
    </row>
    <row r="124">
      <c r="A124" s="273" t="inlineStr">
        <is>
          <t>Limit evidence anchors to 1</t>
        </is>
      </c>
      <c r="B124" s="126" t="n"/>
    </row>
    <row r="125">
      <c r="A125" s="273" t="inlineStr">
        <is>
          <t>Remove recommendations from Pass 1</t>
        </is>
      </c>
      <c r="B125" s="126" t="n"/>
    </row>
    <row r="126">
      <c r="A126" s="273" t="inlineStr">
        <is>
          <t>Remove deep rationale from Pass 1</t>
        </is>
      </c>
      <c r="B126" s="126" t="n"/>
    </row>
    <row r="127">
      <c r="A127" s="273" t="inlineStr">
        <is>
          <t>Keep fail-closed behavior</t>
        </is>
      </c>
      <c r="B127" s="126" t="n"/>
    </row>
    <row r="128">
      <c r="A128" s="126" t="n"/>
      <c r="B128" s="126" t="n"/>
    </row>
    <row r="129">
      <c r="A129" s="275" t="inlineStr">
        <is>
          <t>Status:</t>
        </is>
      </c>
      <c r="B129" s="126" t="n"/>
    </row>
    <row r="130">
      <c r="A130" s="126" t="n"/>
      <c r="B130" s="126" t="n"/>
    </row>
    <row r="131">
      <c r="A131" s="273" t="inlineStr">
        <is>
          <t>OPEN / PARALLEL MINIMAL FIX</t>
        </is>
      </c>
      <c r="B131" s="126" t="n"/>
    </row>
    <row r="132">
      <c r="A132" s="126" t="n"/>
      <c r="B132" s="126" t="n"/>
    </row>
    <row r="133">
      <c r="A133" s="126" t="n"/>
      <c r="B133" s="126" t="n"/>
    </row>
    <row r="134">
      <c r="A134" s="126" t="n"/>
      <c r="B134" s="126" t="n"/>
    </row>
    <row r="135" ht="18" customHeight="1" s="213">
      <c r="A135" s="272" t="inlineStr">
        <is>
          <t>LLR-004 / LLR_POST_DIAGNOSTIC_BLOCK — OPEN CLASSIFICATION TRACK</t>
        </is>
      </c>
      <c r="B135" s="126" t="n"/>
    </row>
    <row r="136">
      <c r="A136" s="126" t="n"/>
      <c r="B136" s="126" t="n"/>
    </row>
    <row r="137">
      <c r="A137" s="275" t="inlineStr">
        <is>
          <t>Meaning:</t>
        </is>
      </c>
      <c r="B137" s="126" t="n"/>
    </row>
    <row r="138">
      <c r="A138" s="126" t="n"/>
      <c r="B138" s="126" t="n"/>
    </row>
    <row r="139">
      <c r="A139" s="273" t="inlineStr">
        <is>
          <t>Pass 2 diagnostic output is being blocked by Lessons Learned enforcement.</t>
        </is>
      </c>
      <c r="B139" s="126" t="n"/>
    </row>
    <row r="140">
      <c r="A140" s="273" t="inlineStr">
        <is>
          <t>This is upstream of U2 and unrelated to dialogue gate.</t>
        </is>
      </c>
      <c r="B140" s="126" t="n"/>
    </row>
    <row r="141">
      <c r="A141" s="126" t="n"/>
      <c r="B141" s="126" t="n"/>
    </row>
    <row r="142">
      <c r="A142" s="275" t="inlineStr">
        <is>
          <t>Possible causes:</t>
        </is>
      </c>
      <c r="B142" s="126" t="n"/>
    </row>
    <row r="143">
      <c r="A143" s="126" t="n"/>
      <c r="B143" s="126" t="n"/>
    </row>
    <row r="144">
      <c r="A144" s="273" t="inlineStr">
        <is>
          <t>MODEL_VIOLATION</t>
        </is>
      </c>
      <c r="B144" s="126" t="n"/>
    </row>
    <row r="145">
      <c r="A145" s="273" t="inlineStr">
        <is>
          <t>RULE_OVERSTRICT</t>
        </is>
      </c>
      <c r="B145" s="126" t="n"/>
    </row>
    <row r="146">
      <c r="A146" s="273" t="inlineStr">
        <is>
          <t>REGISTRY_DRIFT</t>
        </is>
      </c>
      <c r="B146" s="126" t="n"/>
    </row>
    <row r="147">
      <c r="A147" s="273" t="inlineStr">
        <is>
          <t>AMBIGUOUS</t>
        </is>
      </c>
      <c r="B147" s="126" t="n"/>
    </row>
    <row r="148">
      <c r="A148" s="126" t="n"/>
      <c r="B148" s="126" t="n"/>
    </row>
    <row r="149">
      <c r="A149" s="275" t="inlineStr">
        <is>
          <t>Workbook change required:</t>
        </is>
      </c>
      <c r="B149" s="126" t="n"/>
    </row>
    <row r="150">
      <c r="A150" s="126" t="n"/>
      <c r="B150" s="126" t="n"/>
    </row>
    <row r="151">
      <c r="A151" s="273" t="inlineStr">
        <is>
          <t>Add rule_strictness_flag</t>
        </is>
      </c>
      <c r="B151" s="126" t="n"/>
    </row>
    <row r="152">
      <c r="A152" s="273" t="inlineStr">
        <is>
          <t>Add enforcement_vs_calibration</t>
        </is>
      </c>
      <c r="B152" s="126" t="n"/>
    </row>
    <row r="153">
      <c r="A153" s="273" t="inlineStr">
        <is>
          <t>Set RCA-LLR-004-001:</t>
        </is>
      </c>
      <c r="B153" s="126" t="n"/>
    </row>
    <row r="154">
      <c r="A154" s="273" t="inlineStr">
        <is>
          <t xml:space="preserve">  rule_strictness_flag = AMBIGUOUS</t>
        </is>
      </c>
      <c r="B154" s="126" t="n"/>
    </row>
    <row r="155">
      <c r="A155" s="273" t="inlineStr">
        <is>
          <t xml:space="preserve">  enforcement_vs_calibration = UNKNOWN</t>
        </is>
      </c>
      <c r="B155" s="126" t="n"/>
    </row>
    <row r="156">
      <c r="A156" s="126" t="n"/>
      <c r="B156" s="126" t="n"/>
    </row>
    <row r="157">
      <c r="A157" s="275" t="inlineStr">
        <is>
          <t>Status:</t>
        </is>
      </c>
      <c r="B157" s="126" t="n"/>
    </row>
    <row r="158">
      <c r="A158" s="126" t="n"/>
      <c r="B158" s="126" t="n"/>
    </row>
    <row r="159">
      <c r="A159" s="273" t="inlineStr">
        <is>
          <t>OPEN / NEEDS INCIDENT CLASSIFICATION</t>
        </is>
      </c>
      <c r="B159" s="126" t="n"/>
    </row>
    <row r="160">
      <c r="A160" s="126" t="n"/>
      <c r="B160" s="126" t="n"/>
    </row>
    <row r="161">
      <c r="A161" s="126" t="n"/>
      <c r="B161" s="126" t="n"/>
    </row>
    <row r="162">
      <c r="A162" s="126" t="n"/>
      <c r="B162" s="126" t="n"/>
    </row>
    <row r="163" ht="23.39999961853027" customHeight="1" s="213">
      <c r="A163" s="274" t="inlineStr">
        <is>
          <t>Workbook control upgrades</t>
        </is>
      </c>
      <c r="B163" s="126" t="n"/>
    </row>
    <row r="164">
      <c r="A164" s="126" t="n"/>
      <c r="B164" s="126" t="n"/>
    </row>
    <row r="165">
      <c r="A165" s="275" t="inlineStr">
        <is>
          <t>Add sheet:</t>
        </is>
      </c>
      <c r="B165" s="126" t="n"/>
    </row>
    <row r="166">
      <c r="A166" s="126" t="n"/>
      <c r="B166" s="126" t="n"/>
    </row>
    <row r="167">
      <c r="A167" s="273" t="inlineStr">
        <is>
          <t>ENFORCEMENT_SCALE</t>
        </is>
      </c>
      <c r="B167" s="126" t="n"/>
    </row>
    <row r="168">
      <c r="A168" s="126" t="n"/>
      <c r="B168" s="126" t="n"/>
    </row>
    <row r="169">
      <c r="A169" s="275" t="inlineStr">
        <is>
          <t>Values:</t>
        </is>
      </c>
      <c r="B169" s="126" t="n"/>
    </row>
    <row r="170">
      <c r="A170" s="126" t="n"/>
      <c r="B170" s="126" t="n"/>
    </row>
    <row r="171">
      <c r="A171" s="273" t="inlineStr">
        <is>
          <t>NOT_ENFORCED</t>
        </is>
      </c>
      <c r="B171" s="126" t="n"/>
    </row>
    <row r="172">
      <c r="A172" s="273" t="inlineStr">
        <is>
          <t>PARTIAL</t>
        </is>
      </c>
      <c r="B172" s="126" t="n"/>
    </row>
    <row r="173">
      <c r="A173" s="273" t="inlineStr">
        <is>
          <t>STRUCTURAL_ENFORCED</t>
        </is>
      </c>
      <c r="B173" s="126" t="n"/>
    </row>
    <row r="174">
      <c r="A174" s="273" t="inlineStr">
        <is>
          <t>ENFORCED</t>
        </is>
      </c>
      <c r="B174" s="126" t="n"/>
    </row>
    <row r="175">
      <c r="A175" s="126" t="n"/>
      <c r="B175" s="126" t="n"/>
    </row>
    <row r="176">
      <c r="A176" s="275" t="inlineStr">
        <is>
          <t>Add README cockpit:</t>
        </is>
      </c>
      <c r="B176" s="126" t="n"/>
    </row>
    <row r="177">
      <c r="A177" s="126" t="n"/>
      <c r="B177" s="126" t="n"/>
    </row>
    <row r="178">
      <c r="A178" s="273" t="inlineStr">
        <is>
          <t>LAST_LEDGER_REFRESH: 2026-04-27</t>
        </is>
      </c>
      <c r="B178" s="126" t="n"/>
    </row>
    <row r="179">
      <c r="A179" s="273" t="inlineStr">
        <is>
          <t>SYSTEM_STATE: EXECUTION_STABLE / TRUTH_ENFORCEMENT_IN_PROGRESS</t>
        </is>
      </c>
      <c r="B179" s="126" t="n"/>
    </row>
    <row r="180">
      <c r="A180" s="273" t="inlineStr">
        <is>
          <t>PRIMARY_BLOCKER: U2_PROPAGATION_ENFORCEMENT</t>
        </is>
      </c>
      <c r="B180" s="126" t="n"/>
    </row>
    <row r="181">
      <c r="A181" s="273" t="inlineStr">
        <is>
          <t>SECONDARY_BLOCKER: PASS_1_OUTPUT_FEASIBILITY</t>
        </is>
      </c>
      <c r="B181" s="126" t="n"/>
    </row>
    <row r="182">
      <c r="A182" s="126" t="n"/>
      <c r="B182" s="126" t="n"/>
    </row>
    <row r="183">
      <c r="A183" s="275" t="inlineStr">
        <is>
          <t>Add to ROADMAP_LANES:</t>
        </is>
      </c>
      <c r="B183" s="126" t="n"/>
    </row>
    <row r="184">
      <c r="A184" s="126" t="n"/>
      <c r="B184" s="126" t="n"/>
    </row>
    <row r="185">
      <c r="A185" s="273" t="inlineStr">
        <is>
          <t>BLOCKED_BY</t>
        </is>
      </c>
      <c r="B185" s="126" t="n"/>
    </row>
    <row r="186">
      <c r="A186" s="126" t="n"/>
      <c r="B186" s="126" t="n"/>
    </row>
    <row r="187">
      <c r="A187" s="275" t="inlineStr">
        <is>
          <t>Rule:</t>
        </is>
      </c>
      <c r="B187" s="126" t="n"/>
    </row>
    <row r="188">
      <c r="A188" s="126" t="n"/>
      <c r="B188" s="126" t="n"/>
    </row>
    <row r="189">
      <c r="A189" s="273" t="inlineStr">
        <is>
          <t>If BLOCKED_BY is not ENFORCED, item cannot move to ACTIVE.</t>
        </is>
      </c>
      <c r="B189" s="126" t="n"/>
    </row>
    <row r="190">
      <c r="A190" s="126" t="n"/>
      <c r="B190" s="126" t="n"/>
    </row>
    <row r="191">
      <c r="A191" s="126" t="n"/>
      <c r="B191" s="126" t="n"/>
    </row>
    <row r="192">
      <c r="A192" s="126" t="n"/>
      <c r="B192" s="126" t="n"/>
    </row>
    <row r="193" ht="23.39999961853027" customHeight="1" s="213">
      <c r="A193" s="274" t="inlineStr">
        <is>
          <t>Correct next execution order</t>
        </is>
      </c>
      <c r="B193" s="126" t="n"/>
    </row>
    <row r="194">
      <c r="A194" s="126" t="n"/>
      <c r="B194" s="126" t="n"/>
    </row>
    <row r="195">
      <c r="A195" s="273" t="inlineStr">
        <is>
          <t>1. Apply RCA/workbook hardening:</t>
        </is>
      </c>
      <c r="B195" s="126" t="n"/>
    </row>
    <row r="196">
      <c r="A196" s="273" t="inlineStr">
        <is>
          <t xml:space="preserve">   - LLR ambiguity fields</t>
        </is>
      </c>
      <c r="B196" s="126" t="n"/>
    </row>
    <row r="197">
      <c r="A197" s="273" t="inlineStr">
        <is>
          <t xml:space="preserve">   - ENFORCEMENT_SCALE</t>
        </is>
      </c>
      <c r="B197" s="126" t="n"/>
    </row>
    <row r="198">
      <c r="A198" s="273" t="inlineStr">
        <is>
          <t xml:space="preserve">   - README cockpit header</t>
        </is>
      </c>
      <c r="B198" s="126" t="n"/>
    </row>
    <row r="199">
      <c r="A199" s="273" t="inlineStr">
        <is>
          <t xml:space="preserve">   - BLOCKED_BY</t>
        </is>
      </c>
      <c r="B199" s="126" t="n"/>
    </row>
    <row r="200">
      <c r="A200" s="273" t="inlineStr">
        <is>
          <t xml:space="preserve">   - U2 RCA Batch 2</t>
        </is>
      </c>
      <c r="B200" s="126" t="n"/>
    </row>
    <row r="201">
      <c r="A201" s="126" t="n"/>
      <c r="B201" s="126" t="n"/>
    </row>
    <row r="202">
      <c r="A202" s="273" t="inlineStr">
        <is>
          <t>2. Apply minimal PASS1 feasibility patch:</t>
        </is>
      </c>
      <c r="B202" s="126" t="n"/>
    </row>
    <row r="203">
      <c r="A203" s="273" t="inlineStr">
        <is>
          <t xml:space="preserve">   - reduce output surface only enough to improve Pass 4 reachability</t>
        </is>
      </c>
      <c r="B203" s="126" t="n"/>
    </row>
    <row r="204">
      <c r="A204" s="126" t="n"/>
      <c r="B204" s="126" t="n"/>
    </row>
    <row r="205">
      <c r="A205" s="273" t="inlineStr">
        <is>
          <t>3. Execute U2 propagation enforcement:</t>
        </is>
      </c>
      <c r="B205" s="126" t="n"/>
    </row>
    <row r="206">
      <c r="A206" s="273" t="inlineStr">
        <is>
          <t xml:space="preserve">   - confidence derivation</t>
        </is>
      </c>
      <c r="B206" s="126" t="n"/>
    </row>
    <row r="207">
      <c r="A207" s="273" t="inlineStr">
        <is>
          <t xml:space="preserve">   - propagation profile</t>
        </is>
      </c>
      <c r="B207" s="126" t="n"/>
    </row>
    <row r="208">
      <c r="A208" s="273" t="inlineStr">
        <is>
          <t xml:space="preserve">   - score-confidence alignment</t>
        </is>
      </c>
      <c r="B208" s="126" t="n"/>
    </row>
    <row r="209">
      <c r="A209" s="273" t="inlineStr">
        <is>
          <t xml:space="preserve">   - anti-washing rule</t>
        </is>
      </c>
      <c r="B209" s="126" t="n"/>
    </row>
    <row r="210">
      <c r="A210" s="273" t="inlineStr">
        <is>
          <t xml:space="preserve">   - UI authority fusion</t>
        </is>
      </c>
      <c r="B210" s="126" t="n"/>
    </row>
    <row r="211">
      <c r="A211" s="273" t="inlineStr">
        <is>
          <t xml:space="preserve">   - persistence trace</t>
        </is>
      </c>
      <c r="B211" s="126" t="n"/>
    </row>
    <row r="212">
      <c r="A212" s="273" t="inlineStr">
        <is>
          <t xml:space="preserve">   - PV115 golden fixture</t>
        </is>
      </c>
      <c r="B212" s="126" t="n"/>
    </row>
    <row r="213">
      <c r="A213" s="126" t="n"/>
      <c r="B213" s="126" t="n"/>
    </row>
    <row r="214">
      <c r="A214" s="273" t="inlineStr">
        <is>
          <t>4. Re-run real production evaluation proof.</t>
        </is>
      </c>
      <c r="B214" s="126" t="n"/>
    </row>
    <row r="215">
      <c r="A215" s="126" t="n"/>
      <c r="B215" s="126" t="n"/>
    </row>
    <row r="216">
      <c r="A216" s="273" t="inlineStr">
        <is>
          <t>5. Only after U2:</t>
        </is>
      </c>
      <c r="B216" s="126" t="n"/>
    </row>
    <row r="217">
      <c r="A217" s="273" t="inlineStr">
        <is>
          <t xml:space="preserve">   - prompt depth upgrades</t>
        </is>
      </c>
      <c r="B217" s="126" t="n"/>
    </row>
    <row r="218">
      <c r="A218" s="273" t="inlineStr">
        <is>
          <t xml:space="preserve">   - meta-fiction / cultural texture / structural nuance improvements</t>
        </is>
      </c>
      <c r="B218" s="126" t="n"/>
    </row>
    <row r="219">
      <c r="A219" s="273" t="inlineStr">
        <is>
          <t xml:space="preserve">   - U3 contradiction detection</t>
        </is>
      </c>
      <c r="B219" s="126" t="n"/>
    </row>
    <row r="220">
      <c r="A220" s="126" t="n"/>
      <c r="B220" s="126" t="n"/>
    </row>
    <row r="221">
      <c r="A221" s="126" t="n"/>
      <c r="B221" s="126" t="n"/>
    </row>
    <row r="222">
      <c r="A222" s="126" t="n"/>
      <c r="B222" s="126" t="n"/>
    </row>
    <row r="223" ht="23.39999961853027" customHeight="1" s="213">
      <c r="A223" s="274" t="inlineStr">
        <is>
          <t>Final cockpit lines</t>
        </is>
      </c>
      <c r="B223" s="126" t="n"/>
    </row>
    <row r="224">
      <c r="A224" s="126" t="n"/>
      <c r="B224" s="126" t="n"/>
    </row>
    <row r="225">
      <c r="A225" s="273" t="inlineStr">
        <is>
          <t>BLOCK_B_ATOMICITY: ENFORCED.</t>
        </is>
      </c>
      <c r="B225" s="126" t="n"/>
    </row>
    <row r="226">
      <c r="A226" s="273" t="inlineStr">
        <is>
          <t>RELIABILITY_GATE: ENFORCED.</t>
        </is>
      </c>
      <c r="B226" s="126" t="n"/>
    </row>
    <row r="227">
      <c r="A227" s="273" t="inlineStr">
        <is>
          <t>DIALOGUE_ATTRIBUTION_GATE_V2: ENFORCED.</t>
        </is>
      </c>
      <c r="B227" s="126" t="n"/>
    </row>
    <row r="228">
      <c r="A228" s="273" t="inlineStr">
        <is>
          <t>PHASE_1_OBSERVABILITY: STRUCTURAL_ENFORCED / EMPIRICAL_PARTIAL.</t>
        </is>
      </c>
      <c r="B228" s="126" t="n"/>
    </row>
    <row r="229">
      <c r="A229" s="273" t="inlineStr">
        <is>
          <t>PASS_1_OUTPUT_FEASIBILITY: OPEN.</t>
        </is>
      </c>
      <c r="B229" s="126" t="n"/>
    </row>
    <row r="230">
      <c r="A230" s="273" t="inlineStr">
        <is>
          <t>LLR_POST_STRUCTURAL_BLOCK / LLR-004: OPEN CLASSIFICATION TRACK.</t>
        </is>
      </c>
      <c r="B230" s="126" t="n"/>
    </row>
    <row r="231">
      <c r="A231" s="273" t="inlineStr">
        <is>
          <t>U2_PROPAGATION_ENFORCEMENT: PRIMARY NEXT BLOCK.</t>
        </is>
      </c>
      <c r="B231" s="126" t="n"/>
    </row>
    <row r="232">
      <c r="A232" s="273" t="inlineStr">
        <is>
          <t>EVALUATION_TRUTH_ENFORCEMENT: NOT COMPLETE.</t>
        </is>
      </c>
      <c r="B232" s="126" t="n"/>
    </row>
    <row r="233">
      <c r="A233" s="271" t="inlineStr">
        <is>
          <t>2026-04-28 Reconciliation Addendum</t>
        </is>
      </c>
      <c r="B233" s="126" t="n"/>
    </row>
    <row r="234">
      <c r="A234" s="271" t="inlineStr">
        <is>
          <t>Finding A</t>
        </is>
      </c>
      <c r="B234" s="271" t="inlineStr">
        <is>
          <t>Pass1 o3 budget failure is a blocker; no further live evaluations until model/budget strategy is selected.</t>
        </is>
      </c>
    </row>
    <row r="235">
      <c r="A235" s="271" t="inlineStr">
        <is>
          <t>Finding B</t>
        </is>
      </c>
      <c r="B235" s="271" t="inlineStr">
        <is>
          <t>Successful artifact quality failure is semantic acceptance permissiveness; exact gate/wiring requires read-only trace.</t>
        </is>
      </c>
    </row>
    <row r="236">
      <c r="A236" s="271" t="inlineStr">
        <is>
          <t>Workbook State</t>
        </is>
      </c>
      <c r="B236" s="271" t="inlineStr">
        <is>
          <t>This file now contains containment proof plus reconciliation updates from attached evidence across status, RCA, execution, enforcement, verification and source sheets.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  <col width="18" customWidth="1" style="213" min="12" max="12"/>
    <col width="34" customWidth="1" style="213" min="13" max="13"/>
  </cols>
  <sheetData>
    <row r="1" ht="17.08984375" customHeight="1" s="213">
      <c r="A1" s="263" t="inlineStr">
        <is>
          <t>Complete / Partially Complete / Pending — Session Ledger</t>
        </is>
      </c>
      <c r="B1" s="264" t="n"/>
      <c r="C1" s="264" t="n"/>
      <c r="D1" s="264" t="n"/>
      <c r="E1" s="264" t="n"/>
      <c r="F1" s="264" t="n"/>
      <c r="G1" s="265" t="n"/>
      <c r="H1" s="276" t="n"/>
      <c r="I1" s="276" t="n"/>
      <c r="J1" s="277" t="n"/>
      <c r="K1" s="266" t="n"/>
      <c r="L1" s="266" t="n"/>
      <c r="M1" s="266" t="n"/>
    </row>
    <row r="2" ht="14.39999961853027" customHeight="1" s="213">
      <c r="A2" s="278" t="inlineStr">
        <is>
          <t>Status</t>
        </is>
      </c>
      <c r="B2" s="268" t="inlineStr">
        <is>
          <t>Lane</t>
        </is>
      </c>
      <c r="C2" s="268" t="inlineStr">
        <is>
          <t>Item</t>
        </is>
      </c>
      <c r="D2" s="279" t="inlineStr">
        <is>
          <t>Enforcement_Level</t>
        </is>
      </c>
      <c r="E2" s="280" t="n"/>
      <c r="F2" s="280" t="n"/>
      <c r="G2" s="281" t="n"/>
      <c r="H2" s="268" t="inlineStr">
        <is>
          <t>Next_Action</t>
        </is>
      </c>
      <c r="I2" s="268" t="inlineStr">
        <is>
          <t>Date</t>
        </is>
      </c>
      <c r="J2" s="282" t="inlineStr">
        <is>
          <t>Notes</t>
        </is>
      </c>
      <c r="K2" s="67" t="inlineStr">
        <is>
          <t>RCA_ID</t>
        </is>
      </c>
      <c r="L2" s="67" t="inlineStr">
        <is>
          <t>CAUSE_TYPE</t>
        </is>
      </c>
      <c r="M2" s="67" t="inlineStr">
        <is>
          <t>BLOCKED_BY</t>
        </is>
      </c>
    </row>
    <row r="3" ht="14.39999961853027" customHeight="1" s="213">
      <c r="A3" s="133" t="inlineStr">
        <is>
          <t>Completed</t>
        </is>
      </c>
      <c r="B3" s="134" t="inlineStr">
        <is>
          <t>Persistence Boundary</t>
        </is>
      </c>
      <c r="C3" s="134" t="inlineStr">
        <is>
          <t>Step 1.5 V2 boundary hardening / U1 Audit scope</t>
        </is>
      </c>
      <c r="D3" s="134" t="inlineStr">
        <is>
          <t>ENFORCED — boundary scope</t>
        </is>
      </c>
      <c r="E3" s="134" t="inlineStr">
        <is>
          <t>persistEvaluationResultV2 is the sole V2 persistence boundary; validation/gate/confidence happen before persistence; U1 Audit is honestly scoped to persistence boundary.</t>
        </is>
      </c>
      <c r="F3" s="134" t="inlineStr">
        <is>
          <t>PR #240; merge ab611810; 4/4 boundary suite; production smokes 5cca06a2 and 01cbbf9e; QG fail 3ef78daf excluded as phase_1</t>
        </is>
      </c>
      <c r="G3" s="134" t="inlineStr">
        <is>
          <t>Full system audit trace beyond boundary remains separate.</t>
        </is>
      </c>
      <c r="H3" s="134" t="inlineStr">
        <is>
          <t>Keep U1 Audit row as ENFORCED — persistence boundary scope only.</t>
        </is>
      </c>
      <c r="I3" s="134" t="inlineStr">
        <is>
          <t>2026-04-26</t>
        </is>
      </c>
      <c r="J3" s="135" t="inlineStr">
        <is>
          <t>Cockpit moved to 10/23 at this closeout point.</t>
        </is>
      </c>
      <c r="K3" s="126" t="inlineStr">
        <is>
          <t>RCA-ATOMIC-PERSISTENCE-001</t>
        </is>
      </c>
      <c r="L3" s="126" t="inlineStr">
        <is>
          <t>DB_RPC</t>
        </is>
      </c>
      <c r="M3" s="126" t="inlineStr">
        <is>
          <t>None</t>
        </is>
      </c>
    </row>
    <row r="4" ht="14.39999961853027" customHeight="1" s="213">
      <c r="A4" s="136" t="inlineStr">
        <is>
          <t>Completed</t>
        </is>
      </c>
      <c r="B4" s="137" t="inlineStr">
        <is>
          <t>Atomicity</t>
        </is>
      </c>
      <c r="C4" s="137" t="inlineStr">
        <is>
          <t>Block B atomic persistence delivered and proven</t>
        </is>
      </c>
      <c r="D4" s="137" t="inlineStr">
        <is>
          <t>ENFORCED</t>
        </is>
      </c>
      <c r="E4" s="137" t="inlineStr">
        <is>
          <t>Success path moved from artifact upsert + completion update to atomic RPC; ambiguity hotfix applied live and committed to source.</t>
        </is>
      </c>
      <c r="F4" s="137" t="inlineStr">
        <is>
          <t>PR #241 RPC; PR #242 boundary switch; PR #243 ambiguity hotfix; DB function verified SECURITY DEFINER + service_role EXECUTE</t>
        </is>
      </c>
      <c r="G4" s="137" t="inlineStr">
        <is>
          <t>None for Block B; monitor regression only.</t>
        </is>
      </c>
      <c r="H4" s="137" t="inlineStr">
        <is>
          <t>Keep status ENFORCED; source/DB/runtime aligned.</t>
        </is>
      </c>
      <c r="I4" s="137" t="inlineStr">
        <is>
          <t>2026-04-26</t>
        </is>
      </c>
      <c r="J4" s="138" t="inlineStr">
        <is>
          <t>Production success proof closed the empirical gap.</t>
        </is>
      </c>
      <c r="K4" s="126" t="inlineStr">
        <is>
          <t>RCA-ATOMIC-PERSISTENCE-001</t>
        </is>
      </c>
      <c r="L4" s="126" t="inlineStr">
        <is>
          <t>DB_RPC</t>
        </is>
      </c>
      <c r="M4" s="126" t="inlineStr">
        <is>
          <t>None</t>
        </is>
      </c>
    </row>
    <row r="5" ht="14.39999961853027" customHeight="1" s="213">
      <c r="A5" s="136" t="inlineStr">
        <is>
          <t>Completed</t>
        </is>
      </c>
      <c r="B5" s="137" t="inlineStr">
        <is>
          <t>Atomicity</t>
        </is>
      </c>
      <c r="C5" s="137" t="inlineStr">
        <is>
          <t>Production success-path proof captured</t>
        </is>
      </c>
      <c r="D5" s="137" t="inlineStr">
        <is>
          <t>ENFORCED</t>
        </is>
      </c>
      <c r="E5" s="137" t="inlineStr">
        <is>
          <t>Controlled service-role smoke on manuscript 5800 completed phase_2 with gate_enforcement PASS and matching artifact row.</t>
        </is>
      </c>
      <c r="F5" s="137" t="inlineStr">
        <is>
          <t>Job 29089ed6-0fc7-485b-a699-56498b950295; artifact af699bd8-1618-4971-a097-b4345f3e7733</t>
        </is>
      </c>
      <c r="G5" s="137" t="inlineStr">
        <is>
          <t>None for atomicity.</t>
        </is>
      </c>
      <c r="H5" s="137" t="inlineStr">
        <is>
          <t>Use as canonical proof row.</t>
        </is>
      </c>
      <c r="I5" s="137" t="inlineStr">
        <is>
          <t>2026-04-26</t>
        </is>
      </c>
      <c r="J5" s="138" t="inlineStr">
        <is>
          <t>completed_at 2026-04-26T22:23:39.34Z; artifact source_hash recorded.</t>
        </is>
      </c>
      <c r="K5" s="126" t="inlineStr">
        <is>
          <t>RCA-ATOMIC-PERSISTENCE-001</t>
        </is>
      </c>
      <c r="L5" s="126" t="inlineStr">
        <is>
          <t>DB_RPC</t>
        </is>
      </c>
      <c r="M5" s="126" t="inlineStr">
        <is>
          <t>None</t>
        </is>
      </c>
    </row>
    <row r="6" ht="14.39999961853027" customHeight="1" s="213">
      <c r="A6" s="136" t="inlineStr">
        <is>
          <t>Completed</t>
        </is>
      </c>
      <c r="B6" s="137" t="inlineStr">
        <is>
          <t>Reliability</t>
        </is>
      </c>
      <c r="C6" s="137" t="inlineStr">
        <is>
          <t>100k soak gate passed</t>
        </is>
      </c>
      <c r="D6" s="137" t="inlineStr">
        <is>
          <t>ENFORCED</t>
        </is>
      </c>
      <c r="E6" s="137" t="inlineStr">
        <is>
          <t>Stress soak processed 100,000 events with zero unclassified failures, zero wrong-location edits, zero lost writes, no non-canonical status, no silent fallback.</t>
        </is>
      </c>
      <c r="F6" s="137" t="inlineStr">
        <is>
          <t>Evidence dir docs/operations/evidence/runs/2026-04-26T21-32-48-713Z; 9040 retries all handled</t>
        </is>
      </c>
      <c r="G6" s="137" t="inlineStr">
        <is>
          <t>None for harness proof; keep it required for reliability lane.</t>
        </is>
      </c>
      <c r="H6" s="137" t="inlineStr">
        <is>
          <t>Preserve gate:reliability / soak proof as release guard.</t>
        </is>
      </c>
      <c r="I6" s="137" t="inlineStr">
        <is>
          <t>2026-04-26</t>
        </is>
      </c>
      <c r="J6" s="138" t="inlineStr">
        <is>
          <t>Throughput 7058.657 events/sec, concurrency 10.</t>
        </is>
      </c>
      <c r="K6" s="126" t="str"/>
      <c r="L6" s="126" t="str"/>
      <c r="M6" s="126" t="str"/>
    </row>
    <row r="7" ht="14.39999961853027" customHeight="1" s="213">
      <c r="A7" s="136" t="inlineStr">
        <is>
          <t>Completed</t>
        </is>
      </c>
      <c r="B7" s="137" t="inlineStr">
        <is>
          <t>Dialogue Gate V2</t>
        </is>
      </c>
      <c r="C7" s="137" t="inlineStr">
        <is>
          <t>Diagnostic-grounded dialogue attribution gate implemented and locally proven</t>
        </is>
      </c>
      <c r="D7" s="137" t="inlineStr">
        <is>
          <t>ENFORCED — gate-level deterministic</t>
        </is>
      </c>
      <c r="E7" s="137" t="inlineStr">
        <is>
          <t>Lexical-only QG_DIALOGUE_ATTRIBUTION_UNDERAUDITED path replaced by marker OR diagnostic-grounded analysis; local tests green; post-fix reachable runs did not re-trigger QG_DIALOGUE_ATTRIBUTION_UNDERAUDITED.</t>
        </is>
      </c>
      <c r="F7" s="137" t="inlineStr">
        <is>
          <t>PR #245; qualityGate.ts; analyzeDialogueAttribution; runPass3Synthesis; runPipeline; fixture PV115</t>
        </is>
      </c>
      <c r="G7" s="137" t="inlineStr">
        <is>
          <t>System-level reachability still blocked by upstream Pass 1/LLR on some manuscripts.</t>
        </is>
      </c>
      <c r="H7" s="137" t="inlineStr">
        <is>
          <t>Keep DIALOGUE_ATTRIBUTION_GATE_V2 as gate-level ENFORCED, with reachability caveat.</t>
        </is>
      </c>
      <c r="I7" s="137" t="inlineStr">
        <is>
          <t>2026-04-27</t>
        </is>
      </c>
      <c r="J7" s="138" t="inlineStr">
        <is>
          <t>Do not confuse upstream non-determinism with dialogue gate failure.</t>
        </is>
      </c>
      <c r="K7" s="126" t="inlineStr">
        <is>
          <t>RCA-DIALOGUE-GATE-001</t>
        </is>
      </c>
      <c r="L7" s="126" t="inlineStr">
        <is>
          <t>GATE_LOGIC</t>
        </is>
      </c>
      <c r="M7" s="126" t="inlineStr">
        <is>
          <t>Upstream reachability only</t>
        </is>
      </c>
    </row>
    <row r="8" ht="14.39999961853027" customHeight="1" s="213">
      <c r="A8" s="136" t="inlineStr">
        <is>
          <t>Completed</t>
        </is>
      </c>
      <c r="B8" s="137" t="inlineStr">
        <is>
          <t>Failure Envelopes</t>
        </is>
      </c>
      <c r="C8" s="137" t="inlineStr">
        <is>
          <t>Canonical pipeline_failure_envelope now observable on current failure path</t>
        </is>
      </c>
      <c r="D8" s="137" t="inlineStr">
        <is>
          <t>ENFORCED</t>
        </is>
      </c>
      <c r="E8" s="137" t="inlineStr">
        <is>
          <t>Recent QG failure job 40b377de has envelope with failed_at=pass4 and pipeline_stage=pass4; older jobs lacked envelope as expected pre-fix baseline.</t>
        </is>
      </c>
      <c r="F8" s="137" t="inlineStr">
        <is>
          <t>Job 40b377de-30af-4b86-9594-aceda2a5b4ba; older 5a413a7f and 3ef78daf are pre-fix/no-envelope baseline</t>
        </is>
      </c>
      <c r="G8" s="137" t="inlineStr">
        <is>
          <t>Diagnostics propagation is separate and still needs fresh runtime lock.</t>
        </is>
      </c>
      <c r="H8" s="137" t="inlineStr">
        <is>
          <t>Keep envelope row ENFORCED; do not overclaim diagnostics.</t>
        </is>
      </c>
      <c r="I8" s="137" t="inlineStr">
        <is>
          <t>2026-04-27</t>
        </is>
      </c>
      <c r="J8" s="138" t="inlineStr">
        <is>
          <t>This is the diagnostic surface for next investigations.</t>
        </is>
      </c>
      <c r="K8" s="126" t="inlineStr">
        <is>
          <t>RCA-FAILURE-ENVELOPE-001</t>
        </is>
      </c>
      <c r="L8" s="126" t="inlineStr">
        <is>
          <t>OBSERVABILITY</t>
        </is>
      </c>
      <c r="M8" s="126" t="inlineStr">
        <is>
          <t>Fresh diagnostics sample</t>
        </is>
      </c>
    </row>
    <row r="9" ht="14.39999961853027" customHeight="1" s="213">
      <c r="A9" s="136" t="inlineStr">
        <is>
          <t>Completed</t>
        </is>
      </c>
      <c r="B9" s="137" t="inlineStr">
        <is>
          <t>Calibration</t>
        </is>
      </c>
      <c r="C9" s="137" t="inlineStr">
        <is>
          <t>Corrected 5-run manuscript 5907 calibration executed</t>
        </is>
      </c>
      <c r="D9" s="137" t="inlineStr">
        <is>
          <t>OBSERVED</t>
        </is>
      </c>
      <c r="E9" s="137" t="inlineStr">
        <is>
          <t>5-run calibration produced non-deterministic upstream outcomes: 2 complete, 2 PASS1_FAILED, 1 LLR_POST_STRUCTURAL_BLOCK.</t>
        </is>
      </c>
      <c r="F9" s="137" t="inlineStr">
        <is>
          <t>Runs: failed 36s, complete 181s, failed 57s, complete 139s, LLR fail 46s</t>
        </is>
      </c>
      <c r="G9" s="137" t="inlineStr">
        <is>
          <t>It did not prove full-pipeline determinism; it proved upstream blockers.</t>
        </is>
      </c>
      <c r="H9" s="137" t="inlineStr">
        <is>
          <t>Use results to open Pass 1 feasibility and LLR tracks.</t>
        </is>
      </c>
      <c r="I9" s="137" t="inlineStr">
        <is>
          <t>2026-04-27</t>
        </is>
      </c>
      <c r="J9" s="138" t="inlineStr">
        <is>
          <t>Discard invalid earlier error_message polling attempt.</t>
        </is>
      </c>
      <c r="K9" s="126" t="inlineStr">
        <is>
          <t>RCA-PASS1-TOKEN-001</t>
        </is>
      </c>
      <c r="L9" s="126" t="inlineStr">
        <is>
          <t>PROMPT_SCHEMA_BUDGET</t>
        </is>
      </c>
      <c r="M9" s="126" t="inlineStr">
        <is>
          <t>Output surface reduction proof</t>
        </is>
      </c>
    </row>
    <row r="10" ht="14.39999961853027" customHeight="1" s="213">
      <c r="A10" s="136" t="inlineStr">
        <is>
          <t>Completed</t>
        </is>
      </c>
      <c r="B10" s="137" t="inlineStr">
        <is>
          <t>Empirical Baseline</t>
        </is>
      </c>
      <c r="C10" s="137" t="inlineStr">
        <is>
          <t>7-day failure baseline collected</t>
        </is>
      </c>
      <c r="D10" s="137" t="inlineStr">
        <is>
          <t>OBSERVED</t>
        </is>
      </c>
      <c r="E10" s="137" t="inlineStr">
        <is>
          <t>Recent PASS1 failures cluster around finish_reason=length at completion_tokens=3500 with empty response; LLR_POST_STRUCTURAL_BLOCK observed separately.</t>
        </is>
      </c>
      <c r="F10" s="137" t="inlineStr">
        <is>
          <t>7-day counts: PASS1_FAILED=6; LLR_POST_STRUCTURAL_BLOCK=2; manuscripts 5832 and 5907 affected</t>
        </is>
      </c>
      <c r="G10" s="137" t="inlineStr">
        <is>
          <t>Needs mitigation design and proof.</t>
        </is>
      </c>
      <c r="H10" s="137" t="inlineStr">
        <is>
          <t>Create PASS_1_OUTPUT_FEASIBILITY track.</t>
        </is>
      </c>
      <c r="I10" s="137" t="inlineStr">
        <is>
          <t>2026-04-27</t>
        </is>
      </c>
      <c r="J10" s="138" t="inlineStr">
        <is>
          <t>This is token-budget/output-exhaustion, not dialogue gate.</t>
        </is>
      </c>
      <c r="K10" s="126" t="inlineStr">
        <is>
          <t>RCA-PASS1-TOKEN-001</t>
        </is>
      </c>
      <c r="L10" s="126" t="inlineStr">
        <is>
          <t>PROMPT_SCHEMA_BUDGET</t>
        </is>
      </c>
      <c r="M10" s="126" t="inlineStr">
        <is>
          <t>Output surface reduction proof</t>
        </is>
      </c>
    </row>
    <row r="11" ht="14.39999961853027" customHeight="1" s="213">
      <c r="A11" s="136" t="inlineStr">
        <is>
          <t>Completed</t>
        </is>
      </c>
      <c r="B11" s="137" t="inlineStr">
        <is>
          <t>Evaluation Quality</t>
        </is>
      </c>
      <c r="C11" s="137" t="inlineStr">
        <is>
          <t>PV115 Evaluation No. 3 critique synthesized</t>
        </is>
      </c>
      <c r="D11" s="137" t="inlineStr">
        <is>
          <t>OBSERVED</t>
        </is>
      </c>
      <c r="E11" s="137" t="inlineStr">
        <is>
          <t>Four systems converged: evaluation directionally correct but shallow; confidence is advisory rather than authoritative; U2 is the blocker.</t>
        </is>
      </c>
      <c r="F11" s="137" t="inlineStr">
        <is>
          <t>Evaluation No. 3 PV115 Final V3; external AI consensus; repo trace</t>
        </is>
      </c>
      <c r="G11" s="137" t="inlineStr">
        <is>
          <t>Implementation still pending.</t>
        </is>
      </c>
      <c r="H11" s="137" t="inlineStr">
        <is>
          <t>Use PV115 as golden fixture for U2 fidelity tests.</t>
        </is>
      </c>
      <c r="I11" s="137" t="inlineStr">
        <is>
          <t>2026-04-27</t>
        </is>
      </c>
      <c r="J11" s="138" t="inlineStr">
        <is>
          <t>Accuracy target reframed as 99% honesty, not impossible 99% literary truth.</t>
        </is>
      </c>
      <c r="K11" s="126" t="str"/>
      <c r="L11" s="126" t="str"/>
      <c r="M11" s="126" t="str"/>
    </row>
    <row r="12" ht="14.39999961853027" customHeight="1" s="213">
      <c r="A12" s="136" t="inlineStr">
        <is>
          <t>Completed</t>
        </is>
      </c>
      <c r="B12" s="137" t="inlineStr">
        <is>
          <t>Planning</t>
        </is>
      </c>
      <c r="C12" s="137" t="inlineStr">
        <is>
          <t>U2 implementation plan locked</t>
        </is>
      </c>
      <c r="D12" s="137" t="inlineStr">
        <is>
          <t>SPEC COMPLETE</t>
        </is>
      </c>
      <c r="E12" s="137" t="inlineStr">
        <is>
          <t>Concrete file list, rule logic, thresholds, test cases, and acceptance criteria defined.</t>
        </is>
      </c>
      <c r="F12" s="137" t="inlineStr">
        <is>
          <t>qualityGate.ts, runPipeline.ts, runPass3Synthesis.ts, persistEvaluationResultV2.ts, warningClassification.ts, evaluation-result-v2.ts, confidenceDerivation.ts</t>
        </is>
      </c>
      <c r="G12" s="137" t="inlineStr">
        <is>
          <t>No code implemented yet in this workbook state.</t>
        </is>
      </c>
      <c r="H12" s="137" t="inlineStr">
        <is>
          <t>Begin one implementation PR.</t>
        </is>
      </c>
      <c r="I12" s="137" t="inlineStr">
        <is>
          <t>2026-04-27</t>
        </is>
      </c>
      <c r="J12" s="138" t="inlineStr">
        <is>
          <t>No more specification needed before coding.</t>
        </is>
      </c>
      <c r="K12" s="126" t="str"/>
      <c r="L12" s="126" t="str"/>
      <c r="M12" s="126" t="str"/>
    </row>
    <row r="13" ht="14.39999961853027" customHeight="1" s="213">
      <c r="A13" s="136" t="inlineStr">
        <is>
          <t>Partially Complete</t>
        </is>
      </c>
      <c r="B13" s="137" t="inlineStr">
        <is>
          <t>Phase 1 Observability</t>
        </is>
      </c>
      <c r="C13" s="137" t="inlineStr">
        <is>
          <t>PHASE_1_OBSERVABILITY split from U1 Audit</t>
        </is>
      </c>
      <c r="D13" s="137" t="inlineStr">
        <is>
          <t>STRUCTURAL/EMPIRICAL MIXED</t>
        </is>
      </c>
      <c r="E13" s="137" t="inlineStr">
        <is>
          <t>Structured failure envelope exists for current QG path; PASS1/LLR diagnostic surface is improving, but diagnostics are not uniformly proven on every phase_1 failure class.</t>
        </is>
      </c>
      <c r="F13" s="137" t="inlineStr">
        <is>
          <t>QG job 40b377de envelope true; PASS1/LLR baseline queried; prior PASS1 jobs had null diagnostics/envelope before patch path</t>
        </is>
      </c>
      <c r="G13" s="137" t="inlineStr">
        <is>
          <t>Need fresh post-fix PASS1_FAILED proof with pipeline_failure_envelope populated and diagnostics as applicable.</t>
        </is>
      </c>
      <c r="H13" s="137" t="inlineStr">
        <is>
          <t>Patch exact PASS1_FAILED markFailed route and run proof.</t>
        </is>
      </c>
      <c r="I13" s="137" t="inlineStr">
        <is>
          <t>2026-04-27</t>
        </is>
      </c>
      <c r="J13" s="138" t="inlineStr">
        <is>
          <t>Do not count phase_1 failures against U1 boundary enforcement.</t>
        </is>
      </c>
      <c r="K13" s="126" t="inlineStr">
        <is>
          <t>RCA-PASS1-TOKEN-001</t>
        </is>
      </c>
      <c r="L13" s="126" t="inlineStr">
        <is>
          <t>PROMPT_SCHEMA_BUDGET</t>
        </is>
      </c>
      <c r="M13" s="126" t="inlineStr">
        <is>
          <t>Output surface reduction proof</t>
        </is>
      </c>
    </row>
    <row r="14" ht="14.39999961853027" customHeight="1" s="213">
      <c r="A14" s="136" t="inlineStr">
        <is>
          <t>Partially Complete</t>
        </is>
      </c>
      <c r="B14" s="137" t="inlineStr">
        <is>
          <t>Dialogue Diagnostics</t>
        </is>
      </c>
      <c r="C14" s="137" t="inlineStr">
        <is>
          <t>pipeline_failure_diagnostics propagation implemented but not empirically locked</t>
        </is>
      </c>
      <c r="D14" s="137" t="inlineStr">
        <is>
          <t>STRUCTURAL ENFORCED / EMPIRICAL PENDING</t>
        </is>
      </c>
      <c r="E14" s="137" t="inlineStr">
        <is>
          <t>qualityGate.ts attaches diagnostics; runPipeline carries failure_details; code structure exists.</t>
        </is>
      </c>
      <c r="F14" s="137" t="inlineStr">
        <is>
          <t>Repo trace: QualityGateCheck.diagnostics; runPipeline.failure_details; types support diagnostics</t>
        </is>
      </c>
      <c r="G14" s="137" t="inlineStr">
        <is>
          <t>Fresh post-deploy failure sample with non-null pipeline_failure_diagnostics still needed.</t>
        </is>
      </c>
      <c r="H14" s="137" t="inlineStr">
        <is>
          <t>Force/reproduce post-fix diagnostic-bearing failure and query DB.</t>
        </is>
      </c>
      <c r="I14" s="137" t="inlineStr">
        <is>
          <t>2026-04-27</t>
        </is>
      </c>
      <c r="J14" s="138" t="inlineStr">
        <is>
          <t>Old 40b377de lacks diagnostics because it predates wiring.</t>
        </is>
      </c>
      <c r="K14" s="126" t="inlineStr">
        <is>
          <t>RCA-DIALOGUE-GATE-001</t>
        </is>
      </c>
      <c r="L14" s="126" t="inlineStr">
        <is>
          <t>GATE_LOGIC</t>
        </is>
      </c>
      <c r="M14" s="126" t="inlineStr">
        <is>
          <t>Upstream reachability only</t>
        </is>
      </c>
    </row>
    <row r="15" ht="14.39999961853027" customHeight="1" s="213">
      <c r="A15" s="136" t="inlineStr">
        <is>
          <t>Partially Complete</t>
        </is>
      </c>
      <c r="B15" s="137" t="inlineStr">
        <is>
          <t>Production Alignment Guard</t>
        </is>
      </c>
      <c r="C15" s="137" t="inlineStr">
        <is>
          <t>Guard intentionally parked during dev</t>
        </is>
      </c>
      <c r="D15" s="137" t="inlineStr">
        <is>
          <t>PARKED</t>
        </is>
      </c>
      <c r="E15" s="137" t="inlineStr">
        <is>
          <t>Production Alignment Guard secrets were not configured by decision; dev work should not churn prod alignment settings.</t>
        </is>
      </c>
      <c r="F15" s="137" t="inlineStr">
        <is>
          <t>Decision: leave Vercel/Supabase/GitHub prod guard secrets alone during dev</t>
        </is>
      </c>
      <c r="G15" s="137" t="inlineStr">
        <is>
          <t>Will remain blind until production cutover.</t>
        </is>
      </c>
      <c r="H15" s="137" t="inlineStr">
        <is>
          <t>Record as PARKED, not failed.</t>
        </is>
      </c>
      <c r="I15" s="137" t="inlineStr">
        <is>
          <t>2026-04-26</t>
        </is>
      </c>
      <c r="J15" s="138" t="inlineStr">
        <is>
          <t>Revisit at launch/prod alignment phase.</t>
        </is>
      </c>
      <c r="K15" s="126" t="str"/>
      <c r="L15" s="126" t="str"/>
      <c r="M15" s="126" t="str"/>
    </row>
    <row r="16" ht="14.39999961853027" customHeight="1" s="213">
      <c r="A16" s="136" t="inlineStr">
        <is>
          <t>Partially Complete</t>
        </is>
      </c>
      <c r="B16" s="137" t="inlineStr">
        <is>
          <t>PASS1 Output Feasibility</t>
        </is>
      </c>
      <c r="C16" s="137" t="inlineStr">
        <is>
          <t>Pass 1 token budget failure isolated</t>
        </is>
      </c>
      <c r="D16" s="137" t="inlineStr">
        <is>
          <t>FAILED / OPEN</t>
        </is>
      </c>
      <c r="E16" s="137" t="inlineStr">
        <is>
          <t>PASS1_FAILED dominated by empty OpenAI response due finish_reason=length at max_output_tokens=3500; prompt_tokens around 4902/4791.</t>
        </is>
      </c>
      <c r="F16" s="137" t="inlineStr">
        <is>
          <t>7-day query; failures on manuscripts 5832/5907</t>
        </is>
      </c>
      <c r="G16" s="137" t="inlineStr">
        <is>
          <t>Root fix not implemented.</t>
        </is>
      </c>
      <c r="H16" s="137" t="inlineStr">
        <is>
          <t>Measure prompt/output footprint, reduce Pass 1 output surface, then verify.</t>
        </is>
      </c>
      <c r="I16" s="137" t="inlineStr">
        <is>
          <t>2026-04-27</t>
        </is>
      </c>
      <c r="J16" s="138" t="inlineStr">
        <is>
          <t>Do not solve with generic retries or token cap only.</t>
        </is>
      </c>
      <c r="K16" s="126" t="inlineStr">
        <is>
          <t>RCA-PASS1-TOKEN-001</t>
        </is>
      </c>
      <c r="L16" s="126" t="inlineStr">
        <is>
          <t>PROMPT_SCHEMA_BUDGET</t>
        </is>
      </c>
      <c r="M16" s="126" t="inlineStr">
        <is>
          <t>Output surface reduction proof</t>
        </is>
      </c>
    </row>
    <row r="17" ht="14.39999961853027" customHeight="1" s="213">
      <c r="A17" s="136" t="inlineStr">
        <is>
          <t>Partially Complete</t>
        </is>
      </c>
      <c r="B17" s="137" t="inlineStr">
        <is>
          <t>LLR</t>
        </is>
      </c>
      <c r="C17" s="137" t="inlineStr">
        <is>
          <t>LLR_POST_STRUCTURAL_BLOCK observed as upstream blocker</t>
        </is>
      </c>
      <c r="D17" s="137" t="inlineStr">
        <is>
          <t>OPEN</t>
        </is>
      </c>
      <c r="E17" s="137" t="inlineStr">
        <is>
          <t>LLR_POST_STRUCTURAL_BLOCK appears in calibration as a pre-gate blocker separate from dialogue attribution gate.</t>
        </is>
      </c>
      <c r="F17" s="137" t="inlineStr">
        <is>
          <t>5-run calibration; 7-day counts show 2 LLR_POST_STRUCTURAL_BLOCK</t>
        </is>
      </c>
      <c r="G17" s="137" t="inlineStr">
        <is>
          <t>Requires separate RCA/calibration.</t>
        </is>
      </c>
      <c r="H17" s="137" t="inlineStr">
        <is>
          <t>Triage LLR-004/LLR post-structural criteria and registry behavior.</t>
        </is>
      </c>
      <c r="I17" s="137" t="inlineStr">
        <is>
          <t>2026-04-27</t>
        </is>
      </c>
      <c r="J17" s="138" t="inlineStr">
        <is>
          <t>Keep separate from dialogue gate.</t>
        </is>
      </c>
      <c r="K17" s="126" t="inlineStr">
        <is>
          <t>RCA-LLR-004-001</t>
        </is>
      </c>
      <c r="L17" s="126" t="inlineStr">
        <is>
          <t>AMBIGUOUS</t>
        </is>
      </c>
      <c r="M17" s="126" t="inlineStr">
        <is>
          <t>Classify subtype before fix</t>
        </is>
      </c>
    </row>
    <row r="18" ht="14.39999961853027" customHeight="1" s="213">
      <c r="A18" s="136" t="inlineStr">
        <is>
          <t>Pending</t>
        </is>
      </c>
      <c r="B18" s="137" t="inlineStr">
        <is>
          <t>U2</t>
        </is>
      </c>
      <c r="C18" s="137" t="inlineStr">
        <is>
          <t>U2 Fidelity / Propagation Enforcement</t>
        </is>
      </c>
      <c r="D18" s="137" t="inlineStr">
        <is>
          <t>PENDING</t>
        </is>
      </c>
      <c r="E18" s="137" t="inlineStr">
        <is>
          <t>Confidence/weakness signals are still not hard control-flow authority; summary/UI can overstate certainty.</t>
        </is>
      </c>
      <c r="F18" s="137" t="inlineStr">
        <is>
          <t>PV115 critique; repo trace confirms static-ish confidence and warning-only low-confidence behavior</t>
        </is>
      </c>
      <c r="G18" s="137" t="inlineStr">
        <is>
          <t>Primary next block.</t>
        </is>
      </c>
      <c r="H18" s="137" t="inlineStr">
        <is>
          <t>Implement U2 single PR in commit order: schema/types → qualityGate → runPipeline → Pass3 anti-washing → persistence trace → UI → tests.</t>
        </is>
      </c>
      <c r="I18" s="137" t="inlineStr">
        <is>
          <t>2026-04-27</t>
        </is>
      </c>
      <c r="J18" s="138" t="inlineStr">
        <is>
          <t>This is the Monday first task.</t>
        </is>
      </c>
      <c r="K18" s="126" t="inlineStr">
        <is>
          <t>RCA-ATOMIC-PERSISTENCE-001</t>
        </is>
      </c>
      <c r="L18" s="126" t="inlineStr">
        <is>
          <t>DB_RPC</t>
        </is>
      </c>
      <c r="M18" s="126" t="inlineStr">
        <is>
          <t>None</t>
        </is>
      </c>
    </row>
    <row r="19" ht="14.39999961853027" customHeight="1" s="213">
      <c r="A19" s="136" t="inlineStr">
        <is>
          <t>Pending</t>
        </is>
      </c>
      <c r="B19" s="137" t="inlineStr">
        <is>
          <t>Pass 3</t>
        </is>
      </c>
      <c r="C19" s="137" t="inlineStr">
        <is>
          <t>Anti-washing synthesis constraint</t>
        </is>
      </c>
      <c r="D19" s="137" t="inlineStr">
        <is>
          <t>PENDING</t>
        </is>
      </c>
      <c r="E19" s="137" t="inlineStr">
        <is>
          <t>Pass 3 can sound cleaner/more confident than the score and evidence profile supports.</t>
        </is>
      </c>
      <c r="F19" s="137" t="inlineStr">
        <is>
          <t>PV115: positive summary while pacing/theme/closure are weak</t>
        </is>
      </c>
      <c r="G19" s="137" t="inlineStr">
        <is>
          <t>Needs deterministic gate/signal.</t>
        </is>
      </c>
      <c r="H19" s="137" t="inlineStr">
        <is>
          <t>Require summary to reference at least one bottom-scoring weakness.</t>
        </is>
      </c>
      <c r="I19" s="137" t="inlineStr">
        <is>
          <t>2026-04-27</t>
        </is>
      </c>
      <c r="J19" s="138" t="inlineStr">
        <is>
          <t>Part of U2 PR.</t>
        </is>
      </c>
      <c r="K19" s="126" t="str"/>
      <c r="L19" s="126" t="str"/>
      <c r="M19" s="126" t="str"/>
    </row>
    <row r="20" ht="14.39999961853027" customHeight="1" s="213">
      <c r="A20" s="136" t="inlineStr">
        <is>
          <t>Pending</t>
        </is>
      </c>
      <c r="B20" s="137" t="inlineStr">
        <is>
          <t>UI Authority</t>
        </is>
      </c>
      <c r="C20" s="137" t="inlineStr">
        <is>
          <t>Warning/high-confidence banner fusion</t>
        </is>
      </c>
      <c r="D20" s="137" t="inlineStr">
        <is>
          <t>PENDING</t>
        </is>
      </c>
      <c r="E20" s="137" t="inlineStr">
        <is>
          <t>UI authority is not yet fully bound to confidence topology and propagation severity.</t>
        </is>
      </c>
      <c r="F20" s="137" t="inlineStr">
        <is>
          <t>warningClassification.ts trace</t>
        </is>
      </c>
      <c r="G20" s="137" t="inlineStr">
        <is>
          <t>Needs update/test.</t>
        </is>
      </c>
      <c r="H20" s="137" t="inlineStr">
        <is>
          <t>Block high-confidence banner when artifact PASS conflicts with low/mixed/weak confidence.</t>
        </is>
      </c>
      <c r="I20" s="137" t="inlineStr">
        <is>
          <t>2026-04-27</t>
        </is>
      </c>
      <c r="J20" s="138" t="inlineStr">
        <is>
          <t>Part of U2 PR.</t>
        </is>
      </c>
      <c r="K20" s="126" t="str"/>
      <c r="L20" s="126" t="str"/>
      <c r="M20" s="126" t="str"/>
    </row>
    <row r="21" ht="14.39999961853027" customHeight="1" s="213">
      <c r="A21" s="136" t="inlineStr">
        <is>
          <t>Pending</t>
        </is>
      </c>
      <c r="B21" s="137" t="inlineStr">
        <is>
          <t>Golden Fixture</t>
        </is>
      </c>
      <c r="C21" s="137" t="inlineStr">
        <is>
          <t>PV115 golden fidelity fixture</t>
        </is>
      </c>
      <c r="D21" s="137" t="inlineStr">
        <is>
          <t>PENDING</t>
        </is>
      </c>
      <c r="E21" s="137" t="inlineStr">
        <is>
          <t>PV115 should prove that meta-fiction, Mexico parallel, dogs/environmental signaling, river force imagery, and deliberate withholding cannot be missed while confidence stays high.</t>
        </is>
      </c>
      <c r="F21" s="137" t="inlineStr">
        <is>
          <t>Evaluation No. 3 critique</t>
        </is>
      </c>
      <c r="G21" s="137" t="inlineStr">
        <is>
          <t>Fixture not yet implemented.</t>
        </is>
      </c>
      <c r="H21" s="137" t="inlineStr">
        <is>
          <t>Add fixture-driven test; if those signals are missed, confidence cannot remain high.</t>
        </is>
      </c>
      <c r="I21" s="137" t="inlineStr">
        <is>
          <t>2026-04-27</t>
        </is>
      </c>
      <c r="J21" s="138" t="inlineStr">
        <is>
          <t>Golden fixture supports fidelity, not just schema.</t>
        </is>
      </c>
      <c r="K21" s="126" t="str"/>
      <c r="L21" s="126" t="str"/>
      <c r="M21" s="126" t="str"/>
    </row>
    <row r="22" ht="14.39999961853027" customHeight="1" s="213">
      <c r="A22" s="136" t="inlineStr">
        <is>
          <t>Pending</t>
        </is>
      </c>
      <c r="B22" s="137" t="inlineStr">
        <is>
          <t>Pass 1</t>
        </is>
      </c>
      <c r="C22" s="137" t="inlineStr">
        <is>
          <t>Output-surface reduction</t>
        </is>
      </c>
      <c r="D22" s="137" t="inlineStr">
        <is>
          <t>PENDING</t>
        </is>
      </c>
      <c r="E22" s="137" t="inlineStr">
        <is>
          <t>Pass 1 asks for too much output: likely too many anchors/rationales/recommendations/schema fields for long manuscripts.</t>
        </is>
      </c>
      <c r="F22" s="137" t="inlineStr">
        <is>
          <t>PASS1_FAILED finish_reason=length at 3500 completion tokens</t>
        </is>
      </c>
      <c r="G22" s="137" t="inlineStr">
        <is>
          <t>Needs design + test.</t>
        </is>
      </c>
      <c r="H22" s="137" t="inlineStr">
        <is>
          <t>Measure prompt; remove recommendations/deep rationale from Pass 1; cap evidence to 0–1; shift depth to Pass 2/3.</t>
        </is>
      </c>
      <c r="I22" s="137" t="inlineStr">
        <is>
          <t>2026-04-27</t>
        </is>
      </c>
      <c r="J22" s="138" t="inlineStr">
        <is>
          <t>Quality-first fix is output reduction, not optimism.</t>
        </is>
      </c>
      <c r="K22" s="126" t="inlineStr">
        <is>
          <t>RCA-PASS1-TOKEN-001</t>
        </is>
      </c>
      <c r="L22" s="126" t="inlineStr">
        <is>
          <t>PROMPT_SCHEMA_BUDGET</t>
        </is>
      </c>
      <c r="M22" s="126" t="inlineStr">
        <is>
          <t>Output surface reduction proof</t>
        </is>
      </c>
    </row>
    <row r="23" ht="14.39999961853027" customHeight="1" s="213">
      <c r="A23" s="136" t="inlineStr">
        <is>
          <t>Pending</t>
        </is>
      </c>
      <c r="B23" s="137" t="inlineStr">
        <is>
          <t>Prompt Depth</t>
        </is>
      </c>
      <c r="C23" s="137" t="inlineStr">
        <is>
          <t>Reasoning depth improvements after U2</t>
        </is>
      </c>
      <c r="D23" s="137" t="inlineStr">
        <is>
          <t>PENDING</t>
        </is>
      </c>
      <c r="E23" s="137" t="inlineStr">
        <is>
          <t>Prompts need explicit craft dimensions: meta-fiction, parallel structures, animal/environmental signaling, withholding, cultural texture.</t>
        </is>
      </c>
      <c r="F23" s="137" t="inlineStr">
        <is>
          <t>PV115 critique</t>
        </is>
      </c>
      <c r="G23" s="137" t="inlineStr">
        <is>
          <t>Should follow U2 truth-control layer.</t>
        </is>
      </c>
      <c r="H23" s="137" t="inlineStr">
        <is>
          <t>Update pass1-craft.ts and pass2-editorial.ts after U2 enforcement.</t>
        </is>
      </c>
      <c r="I23" s="137" t="inlineStr">
        <is>
          <t>2026-04-27</t>
        </is>
      </c>
      <c r="J23" s="138" t="inlineStr">
        <is>
          <t>Prompt depth without U2 can create polished overclaiming.</t>
        </is>
      </c>
      <c r="K23" s="126" t="str"/>
      <c r="L23" s="126" t="str"/>
      <c r="M23" s="126" t="str"/>
    </row>
    <row r="24" ht="14.39999961853027" customHeight="1" s="213">
      <c r="A24" s="139" t="inlineStr">
        <is>
          <t>Pending</t>
        </is>
      </c>
      <c r="B24" s="140" t="inlineStr">
        <is>
          <t>U3</t>
        </is>
      </c>
      <c r="C24" s="140" t="inlineStr">
        <is>
          <t>Contradiction detection / Gate 15.2</t>
        </is>
      </c>
      <c r="D24" s="140" t="inlineStr">
        <is>
          <t>PENDING</t>
        </is>
      </c>
      <c r="E24" s="140" t="inlineStr">
        <is>
          <t>Contradictions can still remain unresolved and clean/high-confidence.</t>
        </is>
      </c>
      <c r="F24" s="140" t="inlineStr">
        <is>
          <t>Existing U3 roadmap</t>
        </is>
      </c>
      <c r="G24" s="140" t="inlineStr">
        <is>
          <t>Not implemented.</t>
        </is>
      </c>
      <c r="H24" s="140" t="inlineStr">
        <is>
          <t>Build detector/taxonomy/artifact fields/gate/UI after U2.</t>
        </is>
      </c>
      <c r="I24" s="140" t="inlineStr">
        <is>
          <t>2026-04-27</t>
        </is>
      </c>
      <c r="J24" s="141" t="inlineStr">
        <is>
          <t>Still part of remaining 7 open rows.</t>
        </is>
      </c>
      <c r="K24" s="126" t="str"/>
      <c r="L24" s="126" t="str"/>
      <c r="M24" s="126" t="str"/>
    </row>
    <row r="25" ht="14.39999961853027" customHeight="1" s="213">
      <c r="A25" s="126" t="inlineStr">
        <is>
          <t>Partially Complete</t>
        </is>
      </c>
      <c r="B25" s="126" t="inlineStr">
        <is>
          <t>U2 Fidelity</t>
        </is>
      </c>
      <c r="C25" s="126" t="inlineStr">
        <is>
          <t>RCA-U2-003 derived confidence</t>
        </is>
      </c>
      <c r="D25" s="126" t="inlineStr">
        <is>
          <t>PARTIAL</t>
        </is>
      </c>
      <c r="E25" s="126" t="inlineStr">
        <is>
          <t>Deterministic confidence derivation implemented/tested in local/branch context; not yet final under doctrine.</t>
        </is>
      </c>
      <c r="F25" s="126" t="inlineStr">
        <is>
          <t>Focused/broad local tests reportedly green; remote branch has U2 propagation package; no live server/API artifact proof yet.</t>
        </is>
      </c>
      <c r="G25" s="126" t="inlineStr">
        <is>
          <t>Final local changes must be committed/pushed; live proof must show governance.confidence_label + confidence_reasons from evidence profile.</t>
        </is>
      </c>
      <c r="H25" s="126" t="inlineStr">
        <is>
          <t>Commit/push, verify PR diff, run live proof; only then mark RESOLVED.</t>
        </is>
      </c>
      <c r="I25" s="126" t="inlineStr">
        <is>
          <t>2026-04-28</t>
        </is>
      </c>
      <c r="J25" s="126" t="inlineStr">
        <is>
          <t>Phase 2E/RLS evidence must not be used as U2 closure proof.</t>
        </is>
      </c>
      <c r="K25" s="126" t="inlineStr">
        <is>
          <t>RCA-U2-003</t>
        </is>
      </c>
      <c r="L25" s="126" t="str"/>
      <c r="M25" s="126" t="str"/>
    </row>
    <row r="26" ht="14.39999961853027" customHeight="1" s="213">
      <c r="A26" s="126" t="inlineStr">
        <is>
          <t>Partially Complete</t>
        </is>
      </c>
      <c r="B26" s="126" t="inlineStr">
        <is>
          <t>U2 Fidelity</t>
        </is>
      </c>
      <c r="C26" s="126" t="inlineStr">
        <is>
          <t>RCA-U2-006 evidence anchor enforcement</t>
        </is>
      </c>
      <c r="D26" s="126" t="inlineStr">
        <is>
          <t>PARTIAL</t>
        </is>
      </c>
      <c r="E26" s="126" t="inlineStr">
        <is>
          <t>Anchor enforcement exists locally and local tests reportedly pass; not yet remote/live-proven.</t>
        </is>
      </c>
      <c r="F26" s="126" t="inlineStr">
        <is>
          <t>Local NO_TEXTUAL_ANCHOR/runPass2 anchor enforcement proof; remote branch did not show those files at last check.</t>
        </is>
      </c>
      <c r="G26" s="126" t="inlineStr">
        <is>
          <t>Commit/push anchor enforcement files and capture live proof that missing anchors downgrade/hold.</t>
        </is>
      </c>
      <c r="H26" s="126" t="inlineStr">
        <is>
          <t>Commit/push, verify remote contains NO_TEXTUAL_ANCHOR + test, run live server/API proof.</t>
        </is>
      </c>
      <c r="I26" s="126" t="inlineStr">
        <is>
          <t>2026-04-28</t>
        </is>
      </c>
      <c r="J26" s="126" t="inlineStr">
        <is>
          <t>Keep scope narrow: anchor/citation enforcement only, not score-confidence or full confidence derivation.</t>
        </is>
      </c>
      <c r="K26" s="126" t="inlineStr">
        <is>
          <t>RCA-U2-006</t>
        </is>
      </c>
      <c r="L26" s="126" t="str"/>
      <c r="M26" s="126" t="str"/>
    </row>
    <row r="27" ht="14.39999961853027" customHeight="1" s="213">
      <c r="A27" s="126" t="n"/>
      <c r="B27" s="126" t="n"/>
      <c r="C27" s="126" t="n"/>
      <c r="D27" s="126" t="n"/>
      <c r="E27" s="126" t="n"/>
      <c r="F27" s="126" t="n"/>
      <c r="G27" s="126" t="n"/>
      <c r="H27" s="126" t="n"/>
      <c r="I27" s="126" t="n"/>
      <c r="J27" s="126" t="n"/>
      <c r="K27" s="126" t="str"/>
      <c r="L27" s="126" t="str"/>
      <c r="M27" s="126" t="str"/>
    </row>
    <row r="28" ht="14.39999961853027" customHeight="1" s="213">
      <c r="A28" s="126" t="n"/>
      <c r="B28" s="126" t="n"/>
      <c r="C28" s="126" t="n"/>
      <c r="D28" s="126" t="n"/>
      <c r="E28" s="126" t="n"/>
      <c r="F28" s="126" t="n"/>
      <c r="G28" s="126" t="n"/>
      <c r="H28" s="126" t="n"/>
      <c r="I28" s="126" t="n"/>
      <c r="J28" s="126" t="n"/>
      <c r="K28" s="126" t="str"/>
      <c r="L28" s="126" t="str"/>
      <c r="M28" s="126" t="str"/>
    </row>
    <row r="29" ht="14.39999961853027" customHeight="1" s="213">
      <c r="A29" s="126" t="n"/>
      <c r="B29" s="126" t="n"/>
      <c r="C29" s="126" t="n"/>
      <c r="D29" s="126" t="n"/>
      <c r="E29" s="126" t="n"/>
      <c r="F29" s="126" t="n"/>
      <c r="G29" s="126" t="n"/>
      <c r="H29" s="126" t="n"/>
      <c r="I29" s="126" t="n"/>
      <c r="J29" s="126" t="n"/>
      <c r="K29" s="126" t="str"/>
      <c r="L29" s="126" t="str"/>
      <c r="M29" s="126" t="str"/>
    </row>
    <row r="30" ht="14.39999961853027" customHeight="1" s="213">
      <c r="A30" s="126" t="n"/>
      <c r="B30" s="126" t="n"/>
      <c r="C30" s="126" t="n"/>
      <c r="D30" s="126" t="n"/>
      <c r="E30" s="126" t="n"/>
      <c r="F30" s="126" t="n"/>
      <c r="G30" s="126" t="n"/>
      <c r="H30" s="126" t="n"/>
      <c r="I30" s="126" t="n"/>
      <c r="J30" s="126" t="n"/>
      <c r="K30" s="126" t="str"/>
      <c r="L30" s="126" t="str"/>
      <c r="M30" s="126" t="str"/>
    </row>
    <row r="31" ht="14.39999961853027" customHeight="1" s="213">
      <c r="A31" s="126" t="n"/>
      <c r="B31" s="126" t="n"/>
      <c r="C31" s="126" t="n"/>
      <c r="D31" s="126" t="n"/>
      <c r="E31" s="126" t="n"/>
      <c r="F31" s="126" t="n"/>
      <c r="G31" s="126" t="n"/>
      <c r="H31" s="126" t="n"/>
      <c r="I31" s="126" t="n"/>
      <c r="J31" s="126" t="n"/>
      <c r="K31" s="126" t="str"/>
      <c r="L31" s="126" t="str"/>
      <c r="M31" s="126" t="str"/>
    </row>
    <row r="32" ht="14.39999961853027" customHeight="1" s="213">
      <c r="A32" s="126" t="n"/>
      <c r="B32" s="126" t="n"/>
      <c r="C32" s="126" t="n"/>
      <c r="D32" s="126" t="n"/>
      <c r="E32" s="126" t="n"/>
      <c r="F32" s="126" t="n"/>
      <c r="G32" s="126" t="n"/>
      <c r="H32" s="126" t="n"/>
      <c r="I32" s="126" t="n"/>
      <c r="J32" s="126" t="n"/>
      <c r="K32" s="126" t="str"/>
      <c r="L32" s="126" t="str"/>
      <c r="M32" s="126" t="str"/>
    </row>
    <row r="33" ht="14.39999961853027" customHeight="1" s="213">
      <c r="A33" s="126" t="n"/>
      <c r="B33" s="126" t="n"/>
      <c r="C33" s="126" t="n"/>
      <c r="D33" s="126" t="n"/>
      <c r="E33" s="126" t="n"/>
      <c r="F33" s="126" t="n"/>
      <c r="G33" s="126" t="n"/>
      <c r="H33" s="126" t="n"/>
      <c r="I33" s="126" t="n"/>
      <c r="J33" s="126" t="n"/>
      <c r="K33" s="126" t="str"/>
      <c r="L33" s="126" t="str"/>
      <c r="M33" s="126" t="str"/>
    </row>
    <row r="34" ht="14.39999961853027" customHeight="1" s="213">
      <c r="A34" s="126" t="n"/>
      <c r="B34" s="126" t="n"/>
      <c r="C34" s="126" t="n"/>
      <c r="D34" s="126" t="n"/>
      <c r="E34" s="126" t="n"/>
      <c r="F34" s="126" t="n"/>
      <c r="G34" s="126" t="n"/>
      <c r="H34" s="126" t="n"/>
      <c r="I34" s="126" t="n"/>
      <c r="J34" s="126" t="n"/>
      <c r="K34" s="126" t="str"/>
      <c r="L34" s="126" t="str"/>
      <c r="M34" s="126" t="str"/>
    </row>
    <row r="35" ht="14.39999961853027" customHeight="1" s="213">
      <c r="A35" s="126" t="n"/>
      <c r="B35" s="126" t="n"/>
      <c r="C35" s="126" t="n"/>
      <c r="D35" s="126" t="n"/>
      <c r="E35" s="126" t="n"/>
      <c r="F35" s="126" t="n"/>
      <c r="G35" s="126" t="n"/>
      <c r="H35" s="126" t="n"/>
      <c r="I35" s="126" t="n"/>
      <c r="J35" s="126" t="n"/>
      <c r="K35" s="126" t="str"/>
      <c r="L35" s="126" t="str"/>
      <c r="M35" s="126" t="str"/>
    </row>
    <row r="36" ht="14.39999961853027" customHeight="1" s="213">
      <c r="A36" s="126" t="n"/>
      <c r="B36" s="126" t="n"/>
      <c r="C36" s="126" t="n"/>
      <c r="D36" s="126" t="n"/>
      <c r="E36" s="126" t="n"/>
      <c r="F36" s="126" t="n"/>
      <c r="G36" s="126" t="n"/>
      <c r="H36" s="126" t="n"/>
      <c r="I36" s="126" t="n"/>
      <c r="J36" s="126" t="n"/>
      <c r="K36" s="126" t="str"/>
      <c r="L36" s="126" t="str"/>
      <c r="M36" s="126" t="str"/>
    </row>
    <row r="37" ht="14.39999961853027" customHeight="1" s="213">
      <c r="A37" s="126" t="n"/>
      <c r="B37" s="126" t="n"/>
      <c r="C37" s="126" t="n"/>
      <c r="D37" s="126" t="n"/>
      <c r="E37" s="126" t="n"/>
      <c r="F37" s="126" t="n"/>
      <c r="G37" s="126" t="n"/>
      <c r="H37" s="126" t="n"/>
      <c r="I37" s="126" t="n"/>
      <c r="J37" s="126" t="n"/>
      <c r="K37" s="126" t="str"/>
      <c r="L37" s="126" t="str"/>
      <c r="M37" s="126" t="str"/>
    </row>
    <row r="38" ht="14.39999961853027" customHeight="1" s="213">
      <c r="A38" s="126" t="n"/>
      <c r="B38" s="126" t="n"/>
      <c r="C38" s="126" t="n"/>
      <c r="D38" s="126" t="n"/>
      <c r="E38" s="126" t="n"/>
      <c r="F38" s="126" t="n"/>
      <c r="G38" s="126" t="n"/>
      <c r="H38" s="126" t="n"/>
      <c r="I38" s="126" t="n"/>
      <c r="J38" s="126" t="n"/>
      <c r="K38" s="126" t="str"/>
      <c r="L38" s="126" t="str"/>
      <c r="M38" s="126" t="str"/>
    </row>
    <row r="39" ht="14.39999961853027" customHeight="1" s="213">
      <c r="A39" s="126" t="n"/>
      <c r="B39" s="126" t="n"/>
      <c r="C39" s="126" t="n"/>
      <c r="D39" s="126" t="n"/>
      <c r="E39" s="126" t="n"/>
      <c r="F39" s="126" t="n"/>
      <c r="G39" s="126" t="n"/>
      <c r="H39" s="126" t="n"/>
      <c r="I39" s="126" t="n"/>
      <c r="J39" s="126" t="n"/>
      <c r="K39" s="126" t="str"/>
      <c r="L39" s="126" t="str"/>
      <c r="M39" s="126" t="str"/>
    </row>
    <row r="40" ht="14.39999961853027" customHeight="1" s="213">
      <c r="A40" s="126" t="n"/>
      <c r="B40" s="126" t="n"/>
      <c r="C40" s="126" t="n"/>
      <c r="D40" s="126" t="n"/>
      <c r="E40" s="126" t="n"/>
      <c r="F40" s="126" t="n"/>
      <c r="G40" s="126" t="n"/>
      <c r="H40" s="126" t="n"/>
      <c r="I40" s="126" t="n"/>
      <c r="J40" s="126" t="n"/>
      <c r="K40" s="126" t="str"/>
      <c r="L40" s="126" t="str"/>
      <c r="M40" s="126" t="str"/>
    </row>
    <row r="41" ht="48.59999847412109" customHeight="1" s="213">
      <c r="A41" s="126" t="inlineStr">
        <is>
          <t>ID</t>
        </is>
      </c>
      <c r="B41" s="126" t="inlineStr">
        <is>
          <t>Status</t>
        </is>
      </c>
      <c r="C41" s="126" t="inlineStr">
        <is>
          <t>Layer/Area</t>
        </is>
      </c>
      <c r="D41" s="126" t="inlineStr">
        <is>
          <t>Item</t>
        </is>
      </c>
      <c r="E41" s="126" t="inlineStr">
        <is>
          <t>Enforcement Level</t>
        </is>
      </c>
      <c r="F41" s="126" t="inlineStr">
        <is>
          <t>Evidence / Outcome</t>
        </is>
      </c>
      <c r="G41" s="126" t="inlineStr">
        <is>
          <t>Next Action</t>
        </is>
      </c>
      <c r="H41" s="126" t="inlineStr">
        <is>
          <t>Source</t>
        </is>
      </c>
      <c r="I41" s="126" t="n"/>
      <c r="J41" s="126" t="n"/>
      <c r="K41" s="126" t="n"/>
      <c r="L41" s="126" t="n"/>
      <c r="M41" s="126" t="n"/>
    </row>
    <row r="42" ht="48.59999847412109" customHeight="1" s="213">
      <c r="A42" s="126" t="inlineStr">
        <is>
          <t>RCA-ATOMIC-PERSISTENCE-001</t>
        </is>
      </c>
      <c r="B42" s="126" t="inlineStr">
        <is>
          <t>COMPLETE</t>
        </is>
      </c>
      <c r="C42" s="126" t="inlineStr">
        <is>
          <t>U1 / Structural</t>
        </is>
      </c>
      <c r="D42" s="126" t="inlineStr">
        <is>
          <t>Atomic persistence boundary enforced</t>
        </is>
      </c>
      <c r="E42" s="126" t="inlineStr">
        <is>
          <t>ENFORCED</t>
        </is>
      </c>
      <c r="F42" s="126" t="inlineStr">
        <is>
          <t>Atomic persistence RPC implemented/hotfixed; artifact persistence/completion treated as all-or-nothing.</t>
        </is>
      </c>
      <c r="G42" s="126" t="inlineStr">
        <is>
          <t>Preserve one canonical persistence boundary; no alternate write paths.</t>
        </is>
      </c>
      <c r="H42" s="126" t="inlineStr">
        <is>
          <t>Chat/uploaded roadmap evidence</t>
        </is>
      </c>
      <c r="I42" s="126" t="n"/>
      <c r="J42" s="126" t="n"/>
      <c r="K42" s="126" t="n"/>
      <c r="L42" s="126" t="n"/>
      <c r="M42" s="126" t="n"/>
    </row>
    <row r="43" ht="48.59999847412109" customHeight="1" s="213">
      <c r="A43" s="126" t="inlineStr">
        <is>
          <t>RCA-BOUNDARY-SHAPE-001</t>
        </is>
      </c>
      <c r="B43" s="126" t="inlineStr">
        <is>
          <t>COMPLETE</t>
        </is>
      </c>
      <c r="C43" s="126" t="inlineStr">
        <is>
          <t>U1 / Structural</t>
        </is>
      </c>
      <c r="D43" s="126" t="inlineStr">
        <is>
          <t>Boundary shape resolved with live proof</t>
        </is>
      </c>
      <c r="E43" s="126" t="inlineStr">
        <is>
          <t>ENFORCED</t>
        </is>
      </c>
      <c r="F43" s="126" t="inlineStr">
        <is>
          <t>gate_enforcement lives under evaluation_jobs.progress.gate_enforcement; live DB proof exists in prior roadmap state.</t>
        </is>
      </c>
      <c r="G43" s="126" t="inlineStr">
        <is>
          <t>Keep validation projection separate from raw artifact persistence.</t>
        </is>
      </c>
      <c r="H43" s="126" t="inlineStr">
        <is>
          <t>Repo ROADMAP baseline</t>
        </is>
      </c>
      <c r="I43" s="126" t="n"/>
      <c r="J43" s="126" t="n"/>
      <c r="K43" s="126" t="n"/>
      <c r="L43" s="126" t="n"/>
      <c r="M43" s="126" t="n"/>
    </row>
    <row r="44" ht="48.59999847412109" customHeight="1" s="213">
      <c r="A44" s="126" t="inlineStr">
        <is>
          <t>RCA-JOB-LIFECYCLE-001</t>
        </is>
      </c>
      <c r="B44" s="126" t="inlineStr">
        <is>
          <t>COMPLETE</t>
        </is>
      </c>
      <c r="C44" s="126" t="inlineStr">
        <is>
          <t>Lifecycle / Jobs</t>
        </is>
      </c>
      <c r="D44" s="126" t="inlineStr">
        <is>
          <t>Running-state lifecycle invariant enforced</t>
        </is>
      </c>
      <c r="E44" s="126" t="inlineStr">
        <is>
          <t>ENFORCED</t>
        </is>
      </c>
      <c r="F44" s="126" t="inlineStr">
        <is>
          <t>Running requires claim metadata; processor rejects direct queued processing; repair RPC/idempotent test package documented.</t>
        </is>
      </c>
      <c r="G44" s="126" t="inlineStr">
        <is>
          <t>Keep DB CHECK/RPC repair path and lifecycle invariant tests.</t>
        </is>
      </c>
      <c r="H44" s="126" t="inlineStr">
        <is>
          <t>Uploaded PR package</t>
        </is>
      </c>
      <c r="I44" s="126" t="n"/>
      <c r="J44" s="126" t="n"/>
      <c r="K44" s="126" t="n"/>
      <c r="L44" s="126" t="n"/>
      <c r="M44" s="126" t="n"/>
    </row>
    <row r="45" ht="48.59999847412109" customHeight="1" s="213">
      <c r="A45" s="126" t="inlineStr">
        <is>
          <t>PV115-RUNTIME-PROOF-001</t>
        </is>
      </c>
      <c r="B45" s="126" t="inlineStr">
        <is>
          <t>COMPLETE</t>
        </is>
      </c>
      <c r="C45" s="126" t="inlineStr">
        <is>
          <t>Runtime Proof</t>
        </is>
      </c>
      <c r="D45" s="126" t="inlineStr">
        <is>
          <t>PV115 production run completed after lifecycle/RCA-B fixes</t>
        </is>
      </c>
      <c r="E45" s="126" t="inlineStr">
        <is>
          <t>OBSERVED</t>
        </is>
      </c>
      <c r="F45" s="126" t="inlineStr">
        <is>
          <t>Job f64c3266-f969-449a-aff4-18bfefcda9a6 completed in ~2.5 minutes and produced report/artifact; Pass 1+2 analyzed 2904 words.</t>
        </is>
      </c>
      <c r="G45" s="126" t="inlineStr">
        <is>
          <t>Use as runtime viability proof only; not quality certification.</t>
        </is>
      </c>
      <c r="H45" s="126" t="inlineStr">
        <is>
          <t>Uploaded PV115 run evidence</t>
        </is>
      </c>
      <c r="I45" s="126" t="n"/>
      <c r="J45" s="126" t="n"/>
      <c r="K45" s="126" t="n"/>
      <c r="L45" s="126" t="n"/>
      <c r="M45" s="126" t="n"/>
    </row>
    <row r="46" ht="48.59999847412109" customHeight="1" s="213">
      <c r="A46" s="126" t="inlineStr">
        <is>
          <t>ENV-CONTRACT-TYPING-001</t>
        </is>
      </c>
      <c r="B46" s="126" t="inlineStr">
        <is>
          <t>PARTIAL</t>
        </is>
      </c>
      <c r="C46" s="126" t="inlineStr">
        <is>
          <t>Env / CI</t>
        </is>
      </c>
      <c r="D46" s="126" t="inlineStr">
        <is>
          <t>Strict ProcessEnv test fixture fix identified</t>
        </is>
      </c>
      <c r="E46" s="126" t="inlineStr">
        <is>
          <t>READY_FOR_PR</t>
        </is>
      </c>
      <c r="F46" s="126" t="inlineStr">
        <is>
          <t>Root cause identified: invalid/missing NODE_ENV in tests under strict ProcessEnv typing; fix is test-only helper cast and NODE_ENV:'test' additions.</t>
        </is>
      </c>
      <c r="G46" s="126" t="inlineStr">
        <is>
          <t>Open minimal PR fix/env-contract-test-typing; no runtime changes.</t>
        </is>
      </c>
      <c r="H46" s="126" t="inlineStr">
        <is>
          <t>User prompt</t>
        </is>
      </c>
      <c r="I46" s="126" t="n"/>
      <c r="J46" s="126" t="n"/>
      <c r="K46" s="126" t="n"/>
      <c r="L46" s="126" t="n"/>
      <c r="M46" s="126" t="n"/>
    </row>
    <row r="47" ht="48.59999847412109" customHeight="1" s="213">
      <c r="A47" s="126" t="inlineStr">
        <is>
          <t>RCA-U2-003</t>
        </is>
      </c>
      <c r="B47" s="126" t="inlineStr">
        <is>
          <t>PARTIAL</t>
        </is>
      </c>
      <c r="C47" s="126" t="inlineStr">
        <is>
          <t>U2 / Fidelity</t>
        </is>
      </c>
      <c r="D47" s="126" t="inlineStr">
        <is>
          <t>Deterministic confidence derivation</t>
        </is>
      </c>
      <c r="E47" s="126" t="inlineStr">
        <is>
          <t>PARTIAL</t>
        </is>
      </c>
      <c r="F47" s="126" t="inlineStr">
        <is>
          <t>Remote implementation/test proof exists in roadmap state; live artifact proof still pending.</t>
        </is>
      </c>
      <c r="G47" s="126" t="inlineStr">
        <is>
          <t>Run correct U2 proof path; capture governance.confidence_label and confidence_reasons in persisted artifact.</t>
        </is>
      </c>
      <c r="H47" s="126" t="inlineStr">
        <is>
          <t>Repo ROADMAP baseline</t>
        </is>
      </c>
      <c r="I47" s="126" t="n"/>
      <c r="J47" s="126" t="n"/>
      <c r="K47" s="126" t="n"/>
      <c r="L47" s="126" t="n"/>
      <c r="M47" s="126" t="n"/>
    </row>
    <row r="48" ht="48.59999847412109" customHeight="1" s="213">
      <c r="A48" s="126" t="inlineStr">
        <is>
          <t>RCA-U2-006</t>
        </is>
      </c>
      <c r="B48" s="126" t="inlineStr">
        <is>
          <t>PARTIAL</t>
        </is>
      </c>
      <c r="C48" s="126" t="inlineStr">
        <is>
          <t>U2 / Fidelity</t>
        </is>
      </c>
      <c r="D48" s="126" t="inlineStr">
        <is>
          <t>Evidence/textual anchor enforcement</t>
        </is>
      </c>
      <c r="E48" s="126" t="inlineStr">
        <is>
          <t>PARTIAL</t>
        </is>
      </c>
      <c r="F48" s="126" t="inlineStr">
        <is>
          <t>Anchor enforcement implementation/test proof exists in roadmap state; live proof still pending.</t>
        </is>
      </c>
      <c r="G48" s="126" t="inlineStr">
        <is>
          <t>Capture live artifact/gate evidence showing NO_TEXTUAL_ANCHOR or equivalent enforcement when applicable.</t>
        </is>
      </c>
      <c r="H48" s="126" t="inlineStr">
        <is>
          <t>Repo ROADMAP baseline</t>
        </is>
      </c>
      <c r="I48" s="126" t="n"/>
      <c r="J48" s="126" t="n"/>
      <c r="K48" s="126" t="n"/>
      <c r="L48" s="126" t="n"/>
      <c r="M48" s="126" t="n"/>
    </row>
    <row r="49" ht="22.5" customHeight="1" s="213">
      <c r="A49" s="126" t="inlineStr">
        <is>
          <t>RCA-A-PASS1-FEASIBILITY</t>
        </is>
      </c>
      <c r="B49" s="126" t="inlineStr">
        <is>
          <t>PARTIAL</t>
        </is>
      </c>
      <c r="C49" s="126" t="inlineStr">
        <is>
          <t>Pass 1</t>
        </is>
      </c>
      <c r="D49" s="126" t="inlineStr">
        <is>
          <t>Pass 1 feasibility validated for one run, not globally closed</t>
        </is>
      </c>
      <c r="E49" s="126" t="inlineStr">
        <is>
          <t>OBSERVED</t>
        </is>
      </c>
      <c r="F49" s="126" t="inlineStr">
        <is>
          <t>One PV115 run completed; PASS1 output feasibility still open for longer manuscripts and bounded-output stability.</t>
        </is>
      </c>
      <c r="G49" s="126" t="inlineStr">
        <is>
          <t>Keep minimal bounded-output patch; avoid broad latency work until proof is stronger.</t>
        </is>
      </c>
      <c r="H49" s="126" t="inlineStr">
        <is>
          <t>Uploaded PV115/run evidence</t>
        </is>
      </c>
      <c r="I49" s="126" t="n"/>
      <c r="J49" s="126" t="n"/>
      <c r="K49" s="126" t="n"/>
      <c r="L49" s="126" t="n"/>
      <c r="M49" s="126" t="n"/>
    </row>
    <row r="50" ht="46.04999923706055" customHeight="1" s="213">
      <c r="A50" s="126" t="inlineStr">
        <is>
          <t>LLR-004-CLASSIFICATION</t>
        </is>
      </c>
      <c r="B50" s="126" t="inlineStr">
        <is>
          <t>PARTIAL</t>
        </is>
      </c>
      <c r="C50" s="126" t="inlineStr">
        <is>
          <t>LLR / Pass 2</t>
        </is>
      </c>
      <c r="D50" s="126" t="inlineStr">
        <is>
          <t>LLR post-diagnostic block visible but unclassified</t>
        </is>
      </c>
      <c r="E50" s="126" t="inlineStr">
        <is>
          <t>FAIL_CLOSED_VISIBLE</t>
        </is>
      </c>
      <c r="F50" s="126" t="inlineStr">
        <is>
          <t>LLR-004 can block before U2/Pass 4; must be classified as model invalidity, calibration issue, or registry drift before tuning.</t>
        </is>
      </c>
      <c r="G50" s="126" t="inlineStr">
        <is>
          <t>Inspect Pass 2 output and registry/canon mapping; do not downgrade without cause proof.</t>
        </is>
      </c>
      <c r="H50" s="126" t="inlineStr">
        <is>
          <t>Uploaded LLR evidence</t>
        </is>
      </c>
      <c r="I50" s="126" t="n"/>
      <c r="J50" s="126" t="n"/>
      <c r="K50" s="126" t="n"/>
      <c r="L50" s="126" t="n"/>
      <c r="M50" s="126" t="n"/>
    </row>
    <row r="51" ht="34.5" customHeight="1" s="213">
      <c r="A51" s="126" t="inlineStr">
        <is>
          <t>RCA-EVAL-QUALITY-001</t>
        </is>
      </c>
      <c r="B51" s="126" t="inlineStr">
        <is>
          <t>PENDING</t>
        </is>
      </c>
      <c r="C51" s="126" t="inlineStr">
        <is>
          <t>U2 → U3 Bridge</t>
        </is>
      </c>
      <c r="D51" s="126" t="inlineStr">
        <is>
          <t>Evaluation quality enforcement batch</t>
        </is>
      </c>
      <c r="E51" s="126" t="inlineStr">
        <is>
          <t>NOT_ENFORCED</t>
        </is>
      </c>
      <c r="F51" s="126" t="inlineStr">
        <is>
          <t>Live PV115 proof shows generic recommendations, weak evidence binding, confidence-authority mismatch, and Pass 3 compressed synthesis authority.</t>
        </is>
      </c>
      <c r="G51" s="126" t="inlineStr">
        <is>
          <t>Install generic recommendation gate, evidence binding, confidence authority gate, Pass 3 no-new-claims constraint, and output sanitization.</t>
        </is>
      </c>
      <c r="H51" s="126" t="inlineStr">
        <is>
          <t>Uploaded PV115 quality evidence</t>
        </is>
      </c>
      <c r="I51" s="126" t="n"/>
      <c r="J51" s="126" t="n"/>
      <c r="K51" s="126" t="n"/>
      <c r="L51" s="126" t="n"/>
      <c r="M51" s="126" t="n"/>
    </row>
    <row r="52" ht="34.5" customHeight="1" s="213">
      <c r="A52" s="126" t="inlineStr">
        <is>
          <t>RCA-U2-004</t>
        </is>
      </c>
      <c r="B52" s="126" t="inlineStr">
        <is>
          <t>PENDING</t>
        </is>
      </c>
      <c r="C52" s="126" t="inlineStr">
        <is>
          <t>U2 / Fidelity</t>
        </is>
      </c>
      <c r="D52" s="126" t="inlineStr">
        <is>
          <t>Propagation aggregation / upstreamIntegrity</t>
        </is>
      </c>
      <c r="E52" s="126" t="inlineStr">
        <is>
          <t>BLOCKED</t>
        </is>
      </c>
      <c r="F52" s="126" t="inlineStr">
        <is>
          <t>Not closed; depends on U2-003 confidence derivation proof.</t>
        </is>
      </c>
      <c r="G52" s="126" t="inlineStr">
        <is>
          <t>Implement aggregation and expose propagation summary to gate/persistence.</t>
        </is>
      </c>
      <c r="H52" s="126" t="inlineStr">
        <is>
          <t>Repo ROADMAP baseline</t>
        </is>
      </c>
      <c r="I52" s="126" t="n"/>
      <c r="J52" s="126" t="n"/>
      <c r="K52" s="126" t="n"/>
      <c r="L52" s="126" t="n"/>
      <c r="M52" s="126" t="n"/>
    </row>
    <row r="53" ht="34.5" customHeight="1" s="213">
      <c r="A53" s="126" t="inlineStr">
        <is>
          <t>RCA-U2-001</t>
        </is>
      </c>
      <c r="B53" s="126" t="inlineStr">
        <is>
          <t>PENDING</t>
        </is>
      </c>
      <c r="C53" s="126" t="inlineStr">
        <is>
          <t>U2 / Fidelity</t>
        </is>
      </c>
      <c r="D53" s="126" t="inlineStr">
        <is>
          <t>Score-confidence mismatch enforcement</t>
        </is>
      </c>
      <c r="E53" s="126" t="inlineStr">
        <is>
          <t>BLOCKED</t>
        </is>
      </c>
      <c r="F53" s="126" t="inlineStr">
        <is>
          <t>Not closed; depends on U2-003 and U2-004.</t>
        </is>
      </c>
      <c r="G53" s="126" t="inlineStr">
        <is>
          <t>Fail/constrain low-confidence high-score authority cases.</t>
        </is>
      </c>
      <c r="H53" s="126" t="inlineStr">
        <is>
          <t>Repo ROADMAP baseline</t>
        </is>
      </c>
      <c r="I53" s="126" t="n"/>
      <c r="J53" s="126" t="n"/>
      <c r="K53" s="126" t="n"/>
      <c r="L53" s="126" t="n"/>
      <c r="M53" s="126" t="n"/>
    </row>
    <row r="54" ht="22.95000076293945" customHeight="1" s="213">
      <c r="A54" s="126" t="inlineStr">
        <is>
          <t>RCA-U2-002</t>
        </is>
      </c>
      <c r="B54" s="126" t="inlineStr">
        <is>
          <t>PENDING</t>
        </is>
      </c>
      <c r="C54" s="126" t="inlineStr">
        <is>
          <t>U2 / Fidelity</t>
        </is>
      </c>
      <c r="D54" s="126" t="inlineStr">
        <is>
          <t>Summary anti-washing</t>
        </is>
      </c>
      <c r="E54" s="126" t="inlineStr">
        <is>
          <t>BLOCKED</t>
        </is>
      </c>
      <c r="F54" s="126" t="inlineStr">
        <is>
          <t>Not closed; depends on anchor/evidence enforcement.</t>
        </is>
      </c>
      <c r="G54" s="126" t="inlineStr">
        <is>
          <t>Prevent positive summaries from omitting bottom-score weakness clusters.</t>
        </is>
      </c>
      <c r="H54" s="126" t="inlineStr">
        <is>
          <t>Repo ROADMAP baseline</t>
        </is>
      </c>
      <c r="I54" s="126" t="n"/>
      <c r="J54" s="126" t="n"/>
      <c r="K54" s="126" t="n"/>
      <c r="L54" s="126" t="n"/>
      <c r="M54" s="126" t="n"/>
    </row>
    <row r="55" ht="34.5" customHeight="1" s="213">
      <c r="A55" s="126" t="inlineStr">
        <is>
          <t>RCA-U2-005</t>
        </is>
      </c>
      <c r="B55" s="126" t="inlineStr">
        <is>
          <t>PENDING</t>
        </is>
      </c>
      <c r="C55" s="126" t="inlineStr">
        <is>
          <t>U2 / Fidelity</t>
        </is>
      </c>
      <c r="D55" s="126" t="inlineStr">
        <is>
          <t>UI authority lock</t>
        </is>
      </c>
      <c r="E55" s="126" t="inlineStr">
        <is>
          <t>BLOCKED</t>
        </is>
      </c>
      <c r="F55" s="126" t="inlineStr">
        <is>
          <t>Not closed; depends on propagation summary and confidence topology.</t>
        </is>
      </c>
      <c r="G55" s="126" t="inlineStr">
        <is>
          <t>Bind UI confidence/warning presentation to enforced evidence topology.</t>
        </is>
      </c>
      <c r="H55" s="126" t="inlineStr">
        <is>
          <t>Repo ROADMAP baseline</t>
        </is>
      </c>
      <c r="I55" s="126" t="n"/>
      <c r="J55" s="126" t="n"/>
      <c r="K55" s="126" t="n"/>
      <c r="L55" s="126" t="n"/>
      <c r="M55" s="126" t="n"/>
    </row>
    <row r="56" ht="34.5" customHeight="1" s="213">
      <c r="A56" s="126" t="inlineStr">
        <is>
          <t>RCA-U3-001</t>
        </is>
      </c>
      <c r="B56" s="126" t="inlineStr">
        <is>
          <t>PENDING</t>
        </is>
      </c>
      <c r="C56" s="126" t="inlineStr">
        <is>
          <t>U3 / Authority</t>
        </is>
      </c>
      <c r="D56" s="126" t="inlineStr">
        <is>
          <t>Contradiction/coherence enforcement definition</t>
        </is>
      </c>
      <c r="E56" s="126" t="inlineStr">
        <is>
          <t>NOT_STARTED</t>
        </is>
      </c>
      <c r="F56" s="126" t="inlineStr">
        <is>
          <t>U3 RCA set still to be defined; Gate 15.2 contradiction detector remains downstream of U2.</t>
        </is>
      </c>
      <c r="G56" s="126" t="inlineStr">
        <is>
          <t>Define RCA-U3 IDs only after U2 closure evidence is captured.</t>
        </is>
      </c>
      <c r="H56" s="126" t="inlineStr">
        <is>
          <t>U-layer doctrine</t>
        </is>
      </c>
      <c r="I56" s="126" t="n"/>
      <c r="J56" s="126" t="n"/>
      <c r="K56" s="126" t="n"/>
      <c r="L56" s="126" t="n"/>
      <c r="M56" s="126" t="n"/>
    </row>
    <row r="57" ht="46.04999923706055" customHeight="1" s="213">
      <c r="A57" s="126" t="inlineStr">
        <is>
          <t>REPO-ROADMAP-CONSOLIDATION</t>
        </is>
      </c>
      <c r="B57" s="126" t="inlineStr">
        <is>
          <t>COMPLETE</t>
        </is>
      </c>
      <c r="C57" s="126" t="inlineStr">
        <is>
          <t>Roadmap Governance</t>
        </is>
      </c>
      <c r="D57" s="126" t="inlineStr">
        <is>
          <t>Single workbook authority model defined</t>
        </is>
      </c>
      <c r="E57" s="126" t="inlineStr">
        <is>
          <t>READY_FOR_REPO</t>
        </is>
      </c>
      <c r="F57" s="126" t="inlineStr">
        <is>
          <t>Markdown/CSV drift problem identified; workbook-only source-of-truth model accepted.</t>
        </is>
      </c>
      <c r="G57" s="126" t="inlineStr">
        <is>
          <t>Archive narrative/mirror docs; keep README pointer only; use this workbook as authority.</t>
        </is>
      </c>
      <c r="H57" s="126" t="inlineStr">
        <is>
          <t>Current conversation</t>
        </is>
      </c>
      <c r="I57" s="126" t="n"/>
      <c r="J57" s="126" t="n"/>
      <c r="K57" s="126" t="n"/>
      <c r="L57" s="126" t="n"/>
      <c r="M57" s="126" t="n"/>
    </row>
    <row r="58" ht="22.95000076293945" customHeight="1" s="213">
      <c r="A58" s="210" t="inlineStr">
        <is>
          <t>Pending</t>
        </is>
      </c>
      <c r="B58" s="210" t="inlineStr">
        <is>
          <t>Pass1 Feasibility</t>
        </is>
      </c>
      <c r="C58" s="210" t="inlineStr">
        <is>
          <t>RCA-PASS1-TOKEN-001 / Pass1 o3 budget strategy after PV115/5907 failure</t>
        </is>
      </c>
      <c r="D58" s="210" t="inlineStr">
        <is>
          <t>OPEN / BLOCKING</t>
        </is>
      </c>
      <c r="E58" s="210" t="inlineStr">
        <is>
          <t>Pass1 under o3 consumed all 1800 output tokens as reasoning and emitted empty content; downstream U2/governance proof cannot be reached reliably.</t>
        </is>
      </c>
      <c r="F58" s="210" t="inlineStr">
        <is>
          <t>Job 6abcc20c-a4cf-4010-9718-f271de9e363e; clamp/token cap/prompt version active; artifacts_count=0; gate fields null.</t>
        </is>
      </c>
      <c r="G58" s="210" t="inlineStr">
        <is>
          <t>Blocks live proof and additional evaluation runs.</t>
        </is>
      </c>
      <c r="H58" s="210" t="inlineStr">
        <is>
          <t>Address model/budget strategy conceptually first; no live run until fixed.</t>
        </is>
      </c>
      <c r="I58" s="210" t="inlineStr">
        <is>
          <t>2026-04-28</t>
        </is>
      </c>
      <c r="J58" s="210" t="inlineStr">
        <is>
          <t>Finding A; keep separate from quality acceptance Finding B.</t>
        </is>
      </c>
      <c r="K58" s="126" t="n"/>
      <c r="L58" s="126" t="n"/>
      <c r="M58" s="126" t="n"/>
    </row>
    <row r="59" ht="34.5" customHeight="1" s="213">
      <c r="A59" s="210" t="inlineStr">
        <is>
          <t>Pending</t>
        </is>
      </c>
      <c r="B59" s="210" t="inlineStr">
        <is>
          <t>Env Contract Typing</t>
        </is>
      </c>
      <c r="C59" s="210" t="inlineStr">
        <is>
          <t>RCA-ENV-CONTRACT-TYPING-001 strict ProcessEnv test fixture fix</t>
        </is>
      </c>
      <c r="D59" s="210" t="inlineStr">
        <is>
          <t>READY_FOR_PR</t>
        </is>
      </c>
      <c r="E59" s="210" t="inlineStr">
        <is>
          <t>Test-only TypeScript fixture issue; invalid NODE_ENV cases need helper cast and missing NODE_ENV test fixtures need NODE_ENV:"test".</t>
        </is>
      </c>
      <c r="F59" s="210" t="inlineStr">
        <is>
          <t>User-provided patch plan; no runtime code changes.</t>
        </is>
      </c>
      <c r="G59" s="210" t="inlineStr">
        <is>
          <t>None; isolated surgical PR.</t>
        </is>
      </c>
      <c r="H59" s="210" t="inlineStr">
        <is>
          <t>Open minimal PR; do not widen ProcessEnv or relax runtime validation.</t>
        </is>
      </c>
      <c r="I59" s="210" t="inlineStr">
        <is>
          <t>2026-04-28</t>
        </is>
      </c>
      <c r="J59" s="210" t="inlineStr">
        <is>
          <t>Separate from Step-0 boundary and quality enforcement.</t>
        </is>
      </c>
      <c r="K59" s="126" t="n"/>
      <c r="L59" s="126" t="n"/>
      <c r="M59" s="126" t="n"/>
    </row>
    <row r="60" ht="34.5" customHeight="1" s="213">
      <c r="A60" s="210" t="inlineStr">
        <is>
          <t>Pending</t>
        </is>
      </c>
      <c r="B60" s="210" t="inlineStr">
        <is>
          <t>Evaluation Quality</t>
        </is>
      </c>
      <c r="C60" s="210" t="inlineStr">
        <is>
          <t>RCA-EVAL-QUALITY-001 recommendation genericity</t>
        </is>
      </c>
      <c r="D60" s="210" t="inlineStr">
        <is>
          <t>PENDING / CRITICAL</t>
        </is>
      </c>
      <c r="E60" s="210" t="inlineStr">
        <is>
          <t>Generic recommendations pass without evidence-bound specificity.</t>
        </is>
      </c>
      <c r="F60" s="210" t="inlineStr">
        <is>
          <t>PV115 complete run f64c3266 shows 70/30 ratio, missing-persons poster/report, comps, stacked-adjective advice.</t>
        </is>
      </c>
      <c r="G60" s="210" t="inlineStr">
        <is>
          <t>RCA-U2-006 / RCA-U2-004</t>
        </is>
      </c>
      <c r="H60" s="210" t="inlineStr">
        <is>
          <t>Add generic recommendation gate after repo trace confirms exact insertion point.</t>
        </is>
      </c>
      <c r="I60" s="210" t="inlineStr">
        <is>
          <t>2026-04-28</t>
        </is>
      </c>
      <c r="J60" s="210" t="inlineStr">
        <is>
          <t>Quality issue is semantic acceptance, not model intelligence.</t>
        </is>
      </c>
      <c r="K60" s="126" t="n"/>
      <c r="L60" s="126" t="n"/>
      <c r="M60" s="126" t="n"/>
    </row>
    <row r="61" ht="34.5" customHeight="1" s="213">
      <c r="A61" s="210" t="inlineStr">
        <is>
          <t>Pending</t>
        </is>
      </c>
      <c r="B61" s="210" t="inlineStr">
        <is>
          <t>Evaluation Quality</t>
        </is>
      </c>
      <c r="C61" s="210" t="inlineStr">
        <is>
          <t>RCA-EVAL-QUALITY-002 confidence non-enforcement</t>
        </is>
      </c>
      <c r="D61" s="210" t="inlineStr">
        <is>
          <t>PENDING / CRITICAL</t>
        </is>
      </c>
      <c r="E61" s="210" t="inlineStr">
        <is>
          <t>Confidence varies/70% but strong tactical recommendations remain user-visible.</t>
        </is>
      </c>
      <c r="F61" s="210" t="inlineStr">
        <is>
          <t>PV115 report warning plus high-authority prescriptions.</t>
        </is>
      </c>
      <c r="G61" s="210" t="inlineStr">
        <is>
          <t>RCA-U2-003 / RCA-U2-004 / RCA-U2-001</t>
        </is>
      </c>
      <c r="H61" s="210" t="inlineStr">
        <is>
          <t>Make confidence control authority: block, cap, or downgrade.</t>
        </is>
      </c>
      <c r="I61" s="210" t="inlineStr">
        <is>
          <t>2026-04-28</t>
        </is>
      </c>
      <c r="J61" s="210" t="inlineStr">
        <is>
          <t>Confidence must change behavior, not just label.</t>
        </is>
      </c>
      <c r="K61" s="126" t="n"/>
      <c r="L61" s="126" t="n"/>
      <c r="M61" s="126" t="n"/>
    </row>
    <row r="62" ht="22.95000076293945" customHeight="1" s="213">
      <c r="A62" s="210" t="inlineStr">
        <is>
          <t>Pending</t>
        </is>
      </c>
      <c r="B62" s="210" t="inlineStr">
        <is>
          <t>Evaluation Quality</t>
        </is>
      </c>
      <c r="C62" s="210" t="inlineStr">
        <is>
          <t>RCA-EVAL-QUALITY-003 Pass3 compression loss</t>
        </is>
      </c>
      <c r="D62" s="210" t="inlineStr">
        <is>
          <t>PENDING / CRITICAL</t>
        </is>
      </c>
      <c r="E62" s="210" t="inlineStr">
        <is>
          <t>Compressed manuscript reference window allows summary washing/generic fill-in.</t>
        </is>
      </c>
      <c r="F62" s="210" t="inlineStr">
        <is>
          <t>PV115 provenance says Pass3 compressed reference window.</t>
        </is>
      </c>
      <c r="G62" s="210" t="inlineStr">
        <is>
          <t>RCA-U2-002 / RCA-U2-004</t>
        </is>
      </c>
      <c r="H62" s="210" t="inlineStr">
        <is>
          <t>Constrain Pass3 to evidence summaries and weakness carry-through.</t>
        </is>
      </c>
      <c r="I62" s="210" t="inlineStr">
        <is>
          <t>2026-04-28</t>
        </is>
      </c>
      <c r="J62" s="210" t="inlineStr">
        <is>
          <t>Do not overclaim Pass4 failure until repo trace.</t>
        </is>
      </c>
      <c r="K62" s="126" t="n"/>
      <c r="L62" s="126" t="n"/>
      <c r="M62" s="126" t="n"/>
    </row>
    <row r="63" ht="22.95000076293945" customHeight="1" s="213">
      <c r="A63" s="210" t="inlineStr">
        <is>
          <t>Pending</t>
        </is>
      </c>
      <c r="B63" s="210" t="inlineStr">
        <is>
          <t>Evaluation Quality</t>
        </is>
      </c>
      <c r="C63" s="210" t="inlineStr">
        <is>
          <t>RCA-EVAL-QUALITY-004 output boundary leakage</t>
        </is>
      </c>
      <c r="D63" s="210" t="inlineStr">
        <is>
          <t>PENDING / CRITICAL</t>
        </is>
      </c>
      <c r="E63" s="210" t="inlineStr">
        <is>
          <t>Internal/system mechanism language can leak into user report.</t>
        </is>
      </c>
      <c r="F63" s="210" t="inlineStr">
        <is>
          <t>Evidence packet identifies internal ontology/mechanism language as boundary failure.</t>
        </is>
      </c>
      <c r="G63" s="210" t="inlineStr">
        <is>
          <t>RCA-U2-005</t>
        </is>
      </c>
      <c r="H63" s="210" t="inlineStr">
        <is>
          <t>Add final output sanitization/gate.</t>
        </is>
      </c>
      <c r="I63" s="210" t="inlineStr">
        <is>
          <t>2026-04-28</t>
        </is>
      </c>
      <c r="J63" s="210" t="inlineStr">
        <is>
          <t>Requires read-only trace to classify design gap vs wiring failure.</t>
        </is>
      </c>
      <c r="K63" s="126" t="n"/>
      <c r="L63" s="126" t="n"/>
      <c r="M63" s="126" t="n"/>
    </row>
    <row r="64" ht="34.5" customHeight="1" s="213">
      <c r="A64" s="210" t="inlineStr">
        <is>
          <t>Pending</t>
        </is>
      </c>
      <c r="B64" s="210" t="inlineStr">
        <is>
          <t>Evaluation Quality</t>
        </is>
      </c>
      <c r="C64" s="210" t="inlineStr">
        <is>
          <t>RCA-EVAL-QUALITY-005 evidence-to-recommendation traceability</t>
        </is>
      </c>
      <c r="D64" s="210" t="inlineStr">
        <is>
          <t>PENDING / CRITICAL</t>
        </is>
      </c>
      <c r="E64" s="210" t="inlineStr">
        <is>
          <t>Recommendations lack explicit evidence → mechanism → action chain.</t>
        </is>
      </c>
      <c r="F64" s="210" t="inlineStr">
        <is>
          <t>PV115 quality critique: advice sounds like genre templates, not premium manuscript-bound evaluation.</t>
        </is>
      </c>
      <c r="G64" s="210" t="inlineStr">
        <is>
          <t>RCA-U2-006 / RCA-U2-004</t>
        </is>
      </c>
      <c r="H64" s="210" t="inlineStr">
        <is>
          <t>Require traceable evidence binding for every recommendation.</t>
        </is>
      </c>
      <c r="I64" s="210" t="inlineStr">
        <is>
          <t>2026-04-28</t>
        </is>
      </c>
      <c r="J64" s="210" t="inlineStr">
        <is>
          <t>Should be enforced before U3 unlock.</t>
        </is>
      </c>
      <c r="K64" s="126" t="n"/>
      <c r="L64" s="126" t="n"/>
      <c r="M64" s="126" t="n"/>
    </row>
    <row r="65" ht="22.95000076293945" customHeight="1" s="213">
      <c r="A65" s="210" t="inlineStr">
        <is>
          <t>Partially Complete</t>
        </is>
      </c>
      <c r="B65" s="210" t="inlineStr">
        <is>
          <t>U2 Enforcement</t>
        </is>
      </c>
      <c r="C65" s="210" t="inlineStr">
        <is>
          <t>RCA-U2-003 deterministic confidence derivation</t>
        </is>
      </c>
      <c r="D65" s="210" t="inlineStr">
        <is>
          <t>PARTIAL — REMOTE/TEST PROOF / LIVE_PROOF_PENDING</t>
        </is>
      </c>
      <c r="E65" s="210" t="inlineStr">
        <is>
          <t>Implementation exists/pushed/tested locally but live artifact proof is required for RESOLVED.</t>
        </is>
      </c>
      <c r="F65" s="210" t="inlineStr">
        <is>
          <t>ROADMAP state and U-layer doctrine require live proof fields.</t>
        </is>
      </c>
      <c r="G65" s="210" t="inlineStr">
        <is>
          <t>Live proof pending.</t>
        </is>
      </c>
      <c r="H65" s="210" t="inlineStr">
        <is>
          <t>Capture artifact showing confidence_label and confidence_reasons derived from evidence topology.</t>
        </is>
      </c>
      <c r="I65" s="210" t="inlineStr">
        <is>
          <t>2026-04-28</t>
        </is>
      </c>
      <c r="J65" s="210" t="inlineStr">
        <is>
          <t>Do not promote on tests alone.</t>
        </is>
      </c>
      <c r="K65" s="126" t="n"/>
      <c r="L65" s="126" t="n"/>
      <c r="M65" s="126" t="n"/>
    </row>
    <row r="66" ht="34.5" customHeight="1" s="213"/>
    <row r="67" ht="55.20000076293945" customHeight="1" s="213"/>
    <row r="68" ht="44.09999847412109" customHeight="1" s="213"/>
    <row r="69" ht="33.15000152587891" customHeight="1" s="213"/>
    <row r="70" ht="33.15000152587891" customHeight="1" s="213"/>
    <row r="71" ht="66.30000305175781" customHeight="1" s="213"/>
    <row r="72" ht="44.09999847412109" customHeight="1" s="213"/>
  </sheetData>
  <mergeCells count="2">
    <mergeCell ref="D2:G2"/>
    <mergeCell ref="A1:G1"/>
  </mergeCells>
  <conditionalFormatting sqref="A3:A24">
    <cfRule type="containsText" priority="1" operator="containsText" dxfId="6" text="Completed"/>
    <cfRule type="containsText" priority="2" operator="containsText" dxfId="2" text="Pending"/>
    <cfRule type="containsText" priority="3" operator="containsText" dxfId="5" text="Partially"/>
    <cfRule type="containsText" priority="4" operator="containsText" dxfId="3" text="Open"/>
  </conditionalFormatting>
  <conditionalFormatting sqref="D3:D24">
    <cfRule type="containsText" priority="5" operator="containsText" dxfId="6" text="ENFORCED"/>
    <cfRule type="containsText" priority="6" operator="containsText" dxfId="5" text="STRUCTURAL"/>
    <cfRule type="containsText" priority="7" operator="containsText" dxfId="2" text="EMPIRICAL PENDING"/>
    <cfRule type="containsText" priority="8" operator="containsText" dxfId="3" text="OPEN"/>
    <cfRule type="containsText" priority="9" operator="containsText" dxfId="2" text="PENDING"/>
    <cfRule type="containsText" priority="10" operator="containsText" dxfId="1" text="NONE"/>
    <cfRule type="containsText" priority="11" operator="containsText" dxfId="0" text="OBSERVED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</cols>
  <sheetData>
    <row r="1" ht="17.08984375" customHeight="1" s="213">
      <c r="A1" s="263" t="inlineStr">
        <is>
          <t>CURRENT_STATE — 17 / 23 ENFORCED</t>
        </is>
      </c>
      <c r="B1" s="264" t="n"/>
      <c r="C1" s="264" t="n"/>
      <c r="D1" s="264" t="n"/>
      <c r="E1" s="264" t="n"/>
      <c r="F1" s="264" t="n"/>
      <c r="G1" s="265" t="n"/>
      <c r="H1" s="277" t="n"/>
      <c r="I1" s="266" t="n"/>
      <c r="J1" s="266" t="n"/>
      <c r="K1" s="266" t="n"/>
    </row>
    <row r="2" ht="14.39999961853027" customHeight="1" s="213">
      <c r="A2" s="267" t="inlineStr">
        <is>
          <t>#</t>
        </is>
      </c>
      <c r="B2" s="269" t="inlineStr">
        <is>
          <t>System Row</t>
        </is>
      </c>
      <c r="C2" s="269" t="inlineStr">
        <is>
          <t>Level</t>
        </is>
      </c>
      <c r="D2" s="269" t="inlineStr">
        <is>
          <t>Proof / Evidence</t>
        </is>
      </c>
      <c r="E2" s="269" t="inlineStr">
        <is>
          <t>Current Meaning</t>
        </is>
      </c>
      <c r="F2" s="269" t="inlineStr">
        <is>
          <t>Remaining Gap</t>
        </is>
      </c>
      <c r="G2" s="269" t="inlineStr">
        <is>
          <t>Next Action</t>
        </is>
      </c>
      <c r="H2" s="283" t="inlineStr">
        <is>
          <t>Date</t>
        </is>
      </c>
      <c r="I2" s="224" t="inlineStr">
        <is>
          <t>RCA_ID</t>
        </is>
      </c>
      <c r="J2" s="224" t="inlineStr">
        <is>
          <t>CAUSE_TYPE</t>
        </is>
      </c>
      <c r="K2" s="224" t="inlineStr">
        <is>
          <t>BLOCKED_BY</t>
        </is>
      </c>
    </row>
    <row r="3" ht="14.39999961853027" customHeight="1" s="213">
      <c r="A3" s="133" t="n">
        <v>1</v>
      </c>
      <c r="B3" s="134" t="inlineStr">
        <is>
          <t>Single V2 persistence boundary</t>
        </is>
      </c>
      <c r="C3" s="134" t="inlineStr">
        <is>
          <t>ENFORCED</t>
        </is>
      </c>
      <c r="D3" s="134" t="inlineStr">
        <is>
          <t>PR #238 + #240; guard and boundary tests</t>
        </is>
      </c>
      <c r="E3" s="134" t="inlineStr">
        <is>
          <t>Only boundary may persist V2 artifacts.</t>
        </is>
      </c>
      <c r="F3" s="134" t="inlineStr">
        <is>
          <t>None for boundary scope.</t>
        </is>
      </c>
      <c r="G3" s="134" t="inlineStr">
        <is>
          <t>Preserve guard.</t>
        </is>
      </c>
      <c r="H3" s="135" t="inlineStr">
        <is>
          <t>2026-04-26</t>
        </is>
      </c>
      <c r="I3" s="126" t="inlineStr">
        <is>
          <t>RCA-ATOMIC-PERSISTENCE-001</t>
        </is>
      </c>
      <c r="J3" s="126" t="inlineStr">
        <is>
          <t>DB_RPC</t>
        </is>
      </c>
      <c r="K3" s="126" t="inlineStr">
        <is>
          <t>None</t>
        </is>
      </c>
    </row>
    <row r="4" ht="14.39999961853027" customHeight="1" s="213">
      <c r="A4" s="136" t="n">
        <v>2</v>
      </c>
      <c r="B4" s="137" t="inlineStr">
        <is>
          <t>Step 1.5 structural validation</t>
        </is>
      </c>
      <c r="C4" s="137" t="inlineStr">
        <is>
          <t>ENFORCED</t>
        </is>
      </c>
      <c r="D4" s="137" t="inlineStr">
        <is>
          <t>Live production SQL + code proof: job 533a77a5-11cd-4b06-9167-41332cd12390 returned progress.gate_enforcement populated (PASS, confidence high, reason_codes=[]); artifact_schema=evaluation_result_v2; structural validator runs on raw EvaluationResultV2; PASS regression 6/6.</t>
        </is>
      </c>
      <c r="E4" s="137" t="inlineStr">
        <is>
          <t>Validation precedes persistence in covered path; raw PASS shape proof is resolved with production-data evidence.</t>
        </is>
      </c>
      <c r="F4" s="137" t="inlineStr">
        <is>
          <t>None for covered PASS path.</t>
        </is>
      </c>
      <c r="G4" s="137" t="inlineStr">
        <is>
          <t>Proceed to U2 execution: close RCA-U2-003 and RCA-U2-006.</t>
        </is>
      </c>
      <c r="H4" s="138" t="inlineStr">
        <is>
          <t>2026-04-27</t>
        </is>
      </c>
      <c r="I4" s="126" t="inlineStr">
        <is>
          <t>RCA-BOUNDARY-SHAPE-001</t>
        </is>
      </c>
      <c r="J4" s="126" t="inlineStr">
        <is>
          <t>PROOF_GAP_CLOSED</t>
        </is>
      </c>
      <c r="K4" s="126" t="inlineStr">
        <is>
          <t>NONE</t>
        </is>
      </c>
    </row>
    <row r="5" ht="14.39999961853027" customHeight="1" s="213">
      <c r="A5" s="136" t="n">
        <v>3</v>
      </c>
      <c r="B5" s="137" t="inlineStr">
        <is>
          <t>Fail-closed V2 behavior</t>
        </is>
      </c>
      <c r="C5" s="137" t="inlineStr">
        <is>
          <t>ENFORCED</t>
        </is>
      </c>
      <c r="D5" s="137" t="inlineStr">
        <is>
          <t>No output/persistence/render unless gates pass</t>
        </is>
      </c>
      <c r="E5" s="137" t="inlineStr">
        <is>
          <t>Invalid state blocked at boundary.</t>
        </is>
      </c>
      <c r="F5" s="137" t="inlineStr">
        <is>
          <t>None for covered path.</t>
        </is>
      </c>
      <c r="G5" s="137" t="inlineStr">
        <is>
          <t>Keep tests required.</t>
        </is>
      </c>
      <c r="H5" s="138" t="inlineStr">
        <is>
          <t>2026-04-26</t>
        </is>
      </c>
      <c r="I5" s="126" t="str"/>
      <c r="J5" s="126" t="str"/>
      <c r="K5" s="126" t="str"/>
    </row>
    <row r="6" ht="14.39999961853027" customHeight="1" s="213">
      <c r="A6" s="136" t="n">
        <v>4</v>
      </c>
      <c r="B6" s="137" t="inlineStr">
        <is>
          <t>U1 Formula: canonical inputs only</t>
        </is>
      </c>
      <c r="C6" s="137" t="inlineStr">
        <is>
          <t>ENFORCED</t>
        </is>
      </c>
      <c r="D6" s="137" t="inlineStr">
        <is>
          <t>Boundary inputs and validator/gate contracts</t>
        </is>
      </c>
      <c r="E6" s="137" t="inlineStr">
        <is>
          <t>Confidence inputs are constrained in boundary path.</t>
        </is>
      </c>
      <c r="F6" s="137" t="inlineStr">
        <is>
          <t>Broader release semantics still tracked separately.</t>
        </is>
      </c>
      <c r="G6" s="137" t="inlineStr">
        <is>
          <t>Keep U1 row scoped.</t>
        </is>
      </c>
      <c r="H6" s="138" t="inlineStr">
        <is>
          <t>2026-04-26</t>
        </is>
      </c>
      <c r="I6" s="126" t="str"/>
      <c r="J6" s="126" t="str"/>
      <c r="K6" s="126" t="str"/>
    </row>
    <row r="7" ht="14.39999961853027" customHeight="1" s="213">
      <c r="A7" s="136" t="n">
        <v>5</v>
      </c>
      <c r="B7" s="137" t="inlineStr">
        <is>
          <t>U1 Authority: single confidence path</t>
        </is>
      </c>
      <c r="C7" s="137" t="inlineStr">
        <is>
          <t>ENFORCED</t>
        </is>
      </c>
      <c r="D7" s="137" t="inlineStr">
        <is>
          <t>deriveConfidence used in boundary flow</t>
        </is>
      </c>
      <c r="E7" s="137" t="inlineStr">
        <is>
          <t>No shadow confidence on V2 persistence path.</t>
        </is>
      </c>
      <c r="F7" s="137" t="inlineStr">
        <is>
          <t>Full UI confidence authority handled by U2.</t>
        </is>
      </c>
      <c r="G7" s="137" t="inlineStr">
        <is>
          <t>Do not duplicate confidence writes.</t>
        </is>
      </c>
      <c r="H7" s="138" t="inlineStr">
        <is>
          <t>2026-04-26</t>
        </is>
      </c>
      <c r="I7" s="126" t="str"/>
      <c r="J7" s="126" t="str"/>
      <c r="K7" s="126" t="str"/>
    </row>
    <row r="8" ht="14.39999961853027" customHeight="1" s="213">
      <c r="A8" s="136" t="n">
        <v>6</v>
      </c>
      <c r="B8" s="137" t="inlineStr">
        <is>
          <t>U1 Audit: penalty trace emitted</t>
        </is>
      </c>
      <c r="C8" s="137" t="inlineStr">
        <is>
          <t>ENFORCED — boundary scope</t>
        </is>
      </c>
      <c r="D8" s="137" t="inlineStr">
        <is>
          <t>U1 Audit closure; job 3ef78daf excluded as phase_1 not boundary</t>
        </is>
      </c>
      <c r="E8" s="137" t="inlineStr">
        <is>
          <t>Audit applies to persistence boundary, not all pipeline failures.</t>
        </is>
      </c>
      <c r="F8" s="137" t="inlineStr">
        <is>
          <t>Separate phase1 observability remains.</t>
        </is>
      </c>
      <c r="G8" s="137" t="inlineStr">
        <is>
          <t>Keep wording exact.</t>
        </is>
      </c>
      <c r="H8" s="138" t="inlineStr">
        <is>
          <t>2026-04-26</t>
        </is>
      </c>
      <c r="I8" s="126" t="str"/>
      <c r="J8" s="126" t="str"/>
      <c r="K8" s="126" t="str"/>
    </row>
    <row r="9" ht="14.39999961853027" customHeight="1" s="213">
      <c r="A9" s="136" t="n">
        <v>7</v>
      </c>
      <c r="B9" s="137" t="inlineStr">
        <is>
          <t>Atomic persistence RPC</t>
        </is>
      </c>
      <c r="C9" s="137" t="inlineStr">
        <is>
          <t>ENFORCED</t>
        </is>
      </c>
      <c r="D9" s="137" t="inlineStr">
        <is>
          <t>PR #241; DB function persist_evaluation_v2_atomic</t>
        </is>
      </c>
      <c r="E9" s="137" t="inlineStr">
        <is>
          <t>Artifact + completion are atomic in success path.</t>
        </is>
      </c>
      <c r="F9" s="137" t="inlineStr">
        <is>
          <t>None after hotfix.</t>
        </is>
      </c>
      <c r="G9" s="137" t="inlineStr">
        <is>
          <t>Keep migration in source.</t>
        </is>
      </c>
      <c r="H9" s="138" t="inlineStr">
        <is>
          <t>2026-04-26</t>
        </is>
      </c>
      <c r="I9" s="126" t="inlineStr">
        <is>
          <t>RCA-ATOMIC-PERSISTENCE-001</t>
        </is>
      </c>
      <c r="J9" s="126" t="inlineStr">
        <is>
          <t>DB_RPC</t>
        </is>
      </c>
      <c r="K9" s="126" t="inlineStr">
        <is>
          <t>None</t>
        </is>
      </c>
    </row>
    <row r="10" ht="14.39999961853027" customHeight="1" s="213">
      <c r="A10" s="136" t="n">
        <v>8</v>
      </c>
      <c r="B10" s="137" t="inlineStr">
        <is>
          <t>Atomic boundary switch</t>
        </is>
      </c>
      <c r="C10" s="137" t="inlineStr">
        <is>
          <t>ENFORCED</t>
        </is>
      </c>
      <c r="D10" s="137" t="inlineStr">
        <is>
          <t>PR #242; success path uses RPC</t>
        </is>
      </c>
      <c r="E10" s="137" t="inlineStr">
        <is>
          <t>Sequential write split removed.</t>
        </is>
      </c>
      <c r="F10" s="137" t="inlineStr">
        <is>
          <t>None after live proof.</t>
        </is>
      </c>
      <c r="G10" s="137" t="inlineStr">
        <is>
          <t>Monitor CI.</t>
        </is>
      </c>
      <c r="H10" s="138" t="inlineStr">
        <is>
          <t>2026-04-26</t>
        </is>
      </c>
      <c r="I10" s="126" t="inlineStr">
        <is>
          <t>RCA-ATOMIC-PERSISTENCE-001</t>
        </is>
      </c>
      <c r="J10" s="126" t="inlineStr">
        <is>
          <t>DB_RPC</t>
        </is>
      </c>
      <c r="K10" s="126" t="inlineStr">
        <is>
          <t>None</t>
        </is>
      </c>
    </row>
    <row r="11" ht="14.39999961853027" customHeight="1" s="213">
      <c r="A11" s="136" t="n">
        <v>9</v>
      </c>
      <c r="B11" s="137" t="inlineStr">
        <is>
          <t>Atomic ambiguity hotfix</t>
        </is>
      </c>
      <c r="C11" s="137" t="inlineStr">
        <is>
          <t>ENFORCED</t>
        </is>
      </c>
      <c r="D11" s="137" t="inlineStr">
        <is>
          <t>PR #243; live DB hotfix; #variable_conflict use_column</t>
        </is>
      </c>
      <c r="E11" s="137" t="inlineStr">
        <is>
          <t>Column ambiguity fixed and source/DB aligned.</t>
        </is>
      </c>
      <c r="F11" s="137" t="inlineStr">
        <is>
          <t>None.</t>
        </is>
      </c>
      <c r="G11" s="137" t="inlineStr">
        <is>
          <t>Merge/source state closed.</t>
        </is>
      </c>
      <c r="H11" s="138" t="inlineStr">
        <is>
          <t>2026-04-26</t>
        </is>
      </c>
      <c r="I11" s="126" t="inlineStr">
        <is>
          <t>RCA-ATOMIC-PERSISTENCE-001</t>
        </is>
      </c>
      <c r="J11" s="126" t="inlineStr">
        <is>
          <t>DB_RPC</t>
        </is>
      </c>
      <c r="K11" s="126" t="inlineStr">
        <is>
          <t>None</t>
        </is>
      </c>
    </row>
    <row r="12" ht="14.39999961853027" customHeight="1" s="213">
      <c r="A12" s="136" t="n">
        <v>10</v>
      </c>
      <c r="B12" s="137" t="inlineStr">
        <is>
          <t>Production atomic proof</t>
        </is>
      </c>
      <c r="C12" s="137" t="inlineStr">
        <is>
          <t>ENFORCED</t>
        </is>
      </c>
      <c r="D12" s="137" t="inlineStr">
        <is>
          <t>Job 29089ed6 complete; artifact af699bd8 exists</t>
        </is>
      </c>
      <c r="E12" s="137" t="inlineStr">
        <is>
          <t>Success path works end-to-end.</t>
        </is>
      </c>
      <c r="F12" s="137" t="inlineStr">
        <is>
          <t>None.</t>
        </is>
      </c>
      <c r="G12" s="137" t="inlineStr">
        <is>
          <t>Use as proof row.</t>
        </is>
      </c>
      <c r="H12" s="138" t="inlineStr">
        <is>
          <t>2026-04-26</t>
        </is>
      </c>
      <c r="I12" s="126" t="inlineStr">
        <is>
          <t>RCA-ATOMIC-PERSISTENCE-001</t>
        </is>
      </c>
      <c r="J12" s="126" t="inlineStr">
        <is>
          <t>DB_RPC</t>
        </is>
      </c>
      <c r="K12" s="126" t="inlineStr">
        <is>
          <t>None</t>
        </is>
      </c>
    </row>
    <row r="13" ht="14.39999961853027" customHeight="1" s="213">
      <c r="A13" s="136" t="n">
        <v>11</v>
      </c>
      <c r="B13" s="137" t="inlineStr">
        <is>
          <t>Reliability soak</t>
        </is>
      </c>
      <c r="C13" s="137" t="inlineStr">
        <is>
          <t>ENFORCED</t>
        </is>
      </c>
      <c r="D13" s="137" t="inlineStr">
        <is>
          <t>100k soak pass, 0 lost/wrong/unclassified writes</t>
        </is>
      </c>
      <c r="E13" s="137" t="inlineStr">
        <is>
          <t>Reliability gate is proven.</t>
        </is>
      </c>
      <c r="F13" s="137" t="inlineStr">
        <is>
          <t>None.</t>
        </is>
      </c>
      <c r="G13" s="137" t="inlineStr">
        <is>
          <t>Keep as release guard.</t>
        </is>
      </c>
      <c r="H13" s="138" t="inlineStr">
        <is>
          <t>2026-04-26</t>
        </is>
      </c>
      <c r="I13" s="126" t="str"/>
      <c r="J13" s="126" t="str"/>
      <c r="K13" s="126" t="str"/>
    </row>
    <row r="14" ht="14.39999961853027" customHeight="1" s="213">
      <c r="A14" s="136" t="n">
        <v>12</v>
      </c>
      <c r="B14" s="137" t="inlineStr">
        <is>
          <t>Public job auth gate</t>
        </is>
      </c>
      <c r="C14" s="137" t="inlineStr">
        <is>
          <t>ENFORCED</t>
        </is>
      </c>
      <c r="D14" s="137" t="inlineStr">
        <is>
          <t>jobs:smoke:real 401 without auth</t>
        </is>
      </c>
      <c r="E14" s="137" t="inlineStr">
        <is>
          <t>Public unauthenticated job creation blocked.</t>
        </is>
      </c>
      <c r="F14" s="137" t="inlineStr">
        <is>
          <t>None.</t>
        </is>
      </c>
      <c r="G14" s="137" t="inlineStr">
        <is>
          <t>Preserve.</t>
        </is>
      </c>
      <c r="H14" s="138" t="inlineStr">
        <is>
          <t>2026-04-26</t>
        </is>
      </c>
      <c r="I14" s="126" t="str"/>
      <c r="J14" s="126" t="str"/>
      <c r="K14" s="126" t="str"/>
    </row>
    <row r="15" ht="14.39999961853027" customHeight="1" s="213">
      <c r="A15" s="136" t="n">
        <v>13</v>
      </c>
      <c r="B15" s="137" t="inlineStr">
        <is>
          <t>Dev→prod safety guard</t>
        </is>
      </c>
      <c r="C15" s="137" t="inlineStr">
        <is>
          <t>ENFORCED</t>
        </is>
      </c>
      <c r="D15" s="137" t="inlineStr">
        <is>
          <t>dev refused against prod Supabase without bypass</t>
        </is>
      </c>
      <c r="E15" s="137" t="inlineStr">
        <is>
          <t>Unsafe dev-prod mutation blocked.</t>
        </is>
      </c>
      <c r="F15" s="137" t="inlineStr">
        <is>
          <t>None.</t>
        </is>
      </c>
      <c r="G15" s="137" t="inlineStr">
        <is>
          <t>Preserve.</t>
        </is>
      </c>
      <c r="H15" s="138" t="inlineStr">
        <is>
          <t>2026-04-26</t>
        </is>
      </c>
      <c r="I15" s="126" t="str"/>
      <c r="J15" s="126" t="str"/>
      <c r="K15" s="126" t="str"/>
    </row>
    <row r="16" ht="14.39999961853027" customHeight="1" s="213">
      <c r="A16" s="136" t="n">
        <v>14</v>
      </c>
      <c r="B16" s="137" t="inlineStr">
        <is>
          <t>Canonical runtime authority guard</t>
        </is>
      </c>
      <c r="C16" s="137" t="inlineStr">
        <is>
          <t>ENFORCED</t>
        </is>
      </c>
      <c r="D16" s="137" t="inlineStr">
        <is>
          <t>spine/docs runtime guards green</t>
        </is>
      </c>
      <c r="E16" s="137" t="inlineStr">
        <is>
          <t>Docs/runtime authority remains aligned.</t>
        </is>
      </c>
      <c r="F16" s="137" t="inlineStr">
        <is>
          <t>None.</t>
        </is>
      </c>
      <c r="G16" s="137" t="inlineStr">
        <is>
          <t>Preserve.</t>
        </is>
      </c>
      <c r="H16" s="138" t="inlineStr">
        <is>
          <t>2026-04-26</t>
        </is>
      </c>
      <c r="I16" s="126" t="str"/>
      <c r="J16" s="126" t="str"/>
      <c r="K16" s="126" t="str"/>
    </row>
    <row r="17" ht="14.39999961853027" customHeight="1" s="213">
      <c r="A17" s="136" t="n">
        <v>15</v>
      </c>
      <c r="B17" s="137" t="inlineStr">
        <is>
          <t>Dialogue Attribution Gate V2</t>
        </is>
      </c>
      <c r="C17" s="137" t="inlineStr">
        <is>
          <t>ENFORCED — gate-level</t>
        </is>
      </c>
      <c r="D17" s="137" t="inlineStr">
        <is>
          <t>Post-fix reachable runs show no QG_DIALOGUE_ATTRIBUTION_UNDERAUDITED recurrence</t>
        </is>
      </c>
      <c r="E17" s="137" t="inlineStr">
        <is>
          <t>Gate logic no longer lexical-only.</t>
        </is>
      </c>
      <c r="F17" s="137" t="inlineStr">
        <is>
          <t>Upstream reachability still constrained.</t>
        </is>
      </c>
      <c r="G17" s="137" t="inlineStr">
        <is>
          <t>Do not conflate Pass1/LLR with dialogue gate.</t>
        </is>
      </c>
      <c r="H17" s="138" t="inlineStr">
        <is>
          <t>2026-04-27</t>
        </is>
      </c>
      <c r="I17" s="126" t="inlineStr">
        <is>
          <t>RCA-DIALOGUE-GATE-001</t>
        </is>
      </c>
      <c r="J17" s="126" t="inlineStr">
        <is>
          <t>GATE_LOGIC</t>
        </is>
      </c>
      <c r="K17" s="126" t="inlineStr">
        <is>
          <t>Upstream reachability only</t>
        </is>
      </c>
    </row>
    <row r="18" ht="14.39999961853027" customHeight="1" s="213">
      <c r="A18" s="136" t="n">
        <v>16</v>
      </c>
      <c r="B18" s="137" t="inlineStr">
        <is>
          <t>Pipeline failure envelope surface</t>
        </is>
      </c>
      <c r="C18" s="137" t="inlineStr">
        <is>
          <t>ENFORCED</t>
        </is>
      </c>
      <c r="D18" s="137" t="inlineStr">
        <is>
          <t>Current QG job has failed_at/pass4 and pipeline_stage/pass4 envelope</t>
        </is>
      </c>
      <c r="E18" s="137" t="inlineStr">
        <is>
          <t>Failure modes are queryable by job ID.</t>
        </is>
      </c>
      <c r="F18" s="137" t="inlineStr">
        <is>
          <t>Diagnostics proof separate.</t>
        </is>
      </c>
      <c r="G18" s="137" t="inlineStr">
        <is>
          <t>Use for triage queries.</t>
        </is>
      </c>
      <c r="H18" s="138" t="inlineStr">
        <is>
          <t>2026-04-27</t>
        </is>
      </c>
      <c r="I18" s="126" t="str"/>
      <c r="J18" s="126" t="str"/>
      <c r="K18" s="126" t="str"/>
    </row>
    <row r="19" ht="14.39999961853027" customHeight="1" s="213">
      <c r="A19" s="136" t="n">
        <v>17</v>
      </c>
      <c r="B19" s="137" t="inlineStr">
        <is>
          <t>Quality gate diagnostics propagation</t>
        </is>
      </c>
      <c r="C19" s="137" t="inlineStr">
        <is>
          <t>STRUCTURAL ENFORCED / EMPIRICAL PENDING</t>
        </is>
      </c>
      <c r="D19" s="137" t="inlineStr">
        <is>
          <t>Code supports diagnostics, but fresh runtime non-null diagnostics still pending</t>
        </is>
      </c>
      <c r="E19" s="137" t="inlineStr">
        <is>
          <t>Diagnostics are wired but not fully runtime-locked.</t>
        </is>
      </c>
      <c r="F19" s="137" t="inlineStr">
        <is>
          <t>Need post-fix diagnostic-bearing failure.</t>
        </is>
      </c>
      <c r="G19" s="137" t="inlineStr">
        <is>
          <t>Run targeted failure proof.</t>
        </is>
      </c>
      <c r="H19" s="138" t="inlineStr">
        <is>
          <t>2026-04-27</t>
        </is>
      </c>
      <c r="I19" s="126" t="inlineStr">
        <is>
          <t>RCA-FAILURE-ENVELOPE-001</t>
        </is>
      </c>
      <c r="J19" s="126" t="inlineStr">
        <is>
          <t>OBSERVABILITY</t>
        </is>
      </c>
      <c r="K19" s="126" t="inlineStr">
        <is>
          <t>Fresh non-null diagnostics sample</t>
        </is>
      </c>
    </row>
    <row r="20" ht="14.39999961853027" customHeight="1" s="213">
      <c r="A20" s="136" t="n">
        <v>18</v>
      </c>
      <c r="B20" s="137" t="inlineStr">
        <is>
          <t>PHASE_1_OBSERVABILITY</t>
        </is>
      </c>
      <c r="C20" s="137" t="inlineStr">
        <is>
          <t>PARTIAL</t>
        </is>
      </c>
      <c r="D20" s="137" t="inlineStr">
        <is>
          <t>Phase1 failures separated from U1; PASS1/LLR baseline available</t>
        </is>
      </c>
      <c r="E20" s="137" t="inlineStr">
        <is>
          <t>Phase1 trace is a distinct row, not a boundary defect.</t>
        </is>
      </c>
      <c r="F20" s="137" t="inlineStr">
        <is>
          <t>Need fresh PASS1 envelope/diagnostics proof after exact catch-site patch.</t>
        </is>
      </c>
      <c r="G20" s="137" t="inlineStr">
        <is>
          <t>Patch markFailed route and smoke.</t>
        </is>
      </c>
      <c r="H20" s="138" t="inlineStr">
        <is>
          <t>2026-04-27</t>
        </is>
      </c>
      <c r="I20" s="126" t="str"/>
      <c r="J20" s="126" t="str"/>
      <c r="K20" s="126" t="str"/>
    </row>
    <row r="21" ht="14.39999961853027" customHeight="1" s="213">
      <c r="A21" s="136" t="n">
        <v>19</v>
      </c>
      <c r="B21" s="137" t="inlineStr">
        <is>
          <t>PASS_1_OUTPUT_FEASIBILITY</t>
        </is>
      </c>
      <c r="C21" s="137" t="inlineStr">
        <is>
          <t>FAILED / OPEN</t>
        </is>
      </c>
      <c r="D21" s="137" t="inlineStr">
        <is>
          <t>PASS1_FAILED finish_reason=length at 3500 completion tokens</t>
        </is>
      </c>
      <c r="E21" s="137" t="inlineStr">
        <is>
          <t>System can be correct but unreachable on long inputs.</t>
        </is>
      </c>
      <c r="F21" s="137" t="inlineStr">
        <is>
          <t>Root fix not implemented.</t>
        </is>
      </c>
      <c r="G21" s="137" t="inlineStr">
        <is>
          <t>Measure footprint and reduce output surface.</t>
        </is>
      </c>
      <c r="H21" s="138" t="inlineStr">
        <is>
          <t>2026-04-27</t>
        </is>
      </c>
      <c r="I21" s="126" t="str"/>
      <c r="J21" s="126" t="str"/>
      <c r="K21" s="126" t="str"/>
    </row>
    <row r="22" ht="14.39999961853027" customHeight="1" s="213">
      <c r="A22" s="136" t="n">
        <v>20</v>
      </c>
      <c r="B22" s="137" t="inlineStr">
        <is>
          <t>LLR_POST_STRUCTURAL_BLOCK</t>
        </is>
      </c>
      <c r="C22" s="137" t="inlineStr">
        <is>
          <t>AMBIGUOUS</t>
        </is>
      </c>
      <c r="D22" s="137" t="inlineStr">
        <is>
          <t>Observed in calibration and 7-day baseline</t>
        </is>
      </c>
      <c r="E22" s="137" t="inlineStr">
        <is>
          <t>Separate pre-gate blocker exists.</t>
        </is>
      </c>
      <c r="F22" s="137" t="inlineStr">
        <is>
          <t>Subtype not classified yet; must not be treated as model-only failure.</t>
        </is>
      </c>
      <c r="G22" s="137" t="inlineStr">
        <is>
          <t>Capture failing Pass2 payload; classify subtype; move AMBIGUOUS → RESOLVED only after subtype is proven.</t>
        </is>
      </c>
      <c r="H22" s="138" t="inlineStr">
        <is>
          <t>2026-04-27</t>
        </is>
      </c>
      <c r="I22" s="126" t="inlineStr">
        <is>
          <t>RCA-LLR-004-001</t>
        </is>
      </c>
      <c r="J22" s="126" t="inlineStr">
        <is>
          <t>AMBIGUOUS</t>
        </is>
      </c>
      <c r="K22" s="126" t="inlineStr">
        <is>
          <t>Failing Pass2 payload classification</t>
        </is>
      </c>
    </row>
    <row r="23" ht="14.39999961853027" customHeight="1" s="213">
      <c r="A23" s="136" t="n">
        <v>21</v>
      </c>
      <c r="B23" s="137" t="inlineStr">
        <is>
          <t>U2 Fidelity / Propagation</t>
        </is>
      </c>
      <c r="C23" s="137" t="inlineStr">
        <is>
          <t>NOT_READY</t>
        </is>
      </c>
      <c r="D23" s="137" t="inlineStr">
        <is>
          <t>PV115 moved to VERIFICATION_ARTIFACTS as proof fixture, not RCA.</t>
        </is>
      </c>
      <c r="E23" s="137" t="inlineStr">
        <is>
          <t>Fixture validates U2 closures on real signals.</t>
        </is>
      </c>
      <c r="F23" s="137" t="inlineStr">
        <is>
          <t>Not executable as RCA; depends on U2 RCA closures.</t>
        </is>
      </c>
      <c r="G23" s="137" t="inlineStr">
        <is>
          <t>Track in VERIFICATION_ARTIFACTS; run after U2 gate surfaces exist.</t>
        </is>
      </c>
      <c r="H23" s="138" t="inlineStr">
        <is>
          <t>2026-04-27</t>
        </is>
      </c>
      <c r="I23" s="126" t="inlineStr">
        <is>
          <t>PV115-GOLDEN-FIXTURE</t>
        </is>
      </c>
      <c r="J23" s="126" t="inlineStr">
        <is>
          <t>VERIFICATION_ARTIFACT</t>
        </is>
      </c>
      <c r="K23" s="126" t="inlineStr">
        <is>
          <t>RCA-U2-001; RCA-U2-002; RCA-U2-004; RCA-U2-005; RCA-U2-006</t>
        </is>
      </c>
    </row>
    <row r="24" ht="14.39999961853027" customHeight="1" s="213">
      <c r="A24" s="136" t="n">
        <v>22</v>
      </c>
      <c r="B24" s="137" t="inlineStr">
        <is>
          <t>U3 contradiction detection</t>
        </is>
      </c>
      <c r="C24" s="137" t="inlineStr">
        <is>
          <t>PENDING</t>
        </is>
      </c>
      <c r="D24" s="137" t="inlineStr">
        <is>
          <t>Existing roadmap lane</t>
        </is>
      </c>
      <c r="E24" s="137" t="inlineStr">
        <is>
          <t>Contradiction logic not implemented.</t>
        </is>
      </c>
      <c r="F24" s="137" t="inlineStr">
        <is>
          <t>Pending after U2.</t>
        </is>
      </c>
      <c r="G24" s="137" t="inlineStr">
        <is>
          <t>Schedule after U2.</t>
        </is>
      </c>
      <c r="H24" s="138" t="inlineStr">
        <is>
          <t>2026-04-27</t>
        </is>
      </c>
      <c r="I24" s="126" t="str"/>
      <c r="J24" s="126" t="str"/>
      <c r="K24" s="126" t="str"/>
    </row>
    <row r="25" ht="14.39999961853027" customHeight="1" s="213">
      <c r="A25" s="139" t="n">
        <v>23</v>
      </c>
      <c r="B25" s="140" t="inlineStr">
        <is>
          <t>PV115 golden fidelity fixture</t>
        </is>
      </c>
      <c r="C25" s="140" t="inlineStr">
        <is>
          <t>PENDING</t>
        </is>
      </c>
      <c r="D25" s="140" t="inlineStr">
        <is>
          <t>Evaluation No. 3 critique</t>
        </is>
      </c>
      <c r="E25" s="140" t="inlineStr">
        <is>
          <t>No golden fixture yet locks missed craft signals.</t>
        </is>
      </c>
      <c r="F25" s="140" t="inlineStr">
        <is>
          <t>Fixture not implemented.</t>
        </is>
      </c>
      <c r="G25" s="140" t="inlineStr">
        <is>
          <t>Add to U2 test suite.</t>
        </is>
      </c>
      <c r="H25" s="141" t="inlineStr">
        <is>
          <t>2026-04-27</t>
        </is>
      </c>
      <c r="I25" s="126" t="str"/>
      <c r="J25" s="126" t="str"/>
      <c r="K25" s="126" t="str"/>
    </row>
    <row r="26" ht="14.39999961853027" customHeight="1" s="213">
      <c r="A26" s="126" t="n"/>
      <c r="B26" s="126" t="n"/>
      <c r="C26" s="126" t="n"/>
      <c r="D26" s="126" t="n"/>
      <c r="E26" s="126" t="n"/>
      <c r="F26" s="126" t="n"/>
      <c r="G26" s="126" t="n"/>
      <c r="H26" s="126" t="n"/>
      <c r="I26" s="126" t="str"/>
      <c r="J26" s="126" t="str"/>
      <c r="K26" s="126" t="str"/>
    </row>
    <row r="27" ht="14.39999961853027" customHeight="1" s="213">
      <c r="A27" s="126" t="n"/>
      <c r="B27" s="126" t="n"/>
      <c r="C27" s="126" t="n"/>
      <c r="D27" s="126" t="n"/>
      <c r="E27" s="126" t="n"/>
      <c r="F27" s="126" t="n"/>
      <c r="G27" s="126" t="n"/>
      <c r="H27" s="126" t="n"/>
      <c r="I27" s="126" t="n"/>
      <c r="J27" s="126" t="n"/>
      <c r="K27" s="126" t="n"/>
    </row>
    <row r="28" ht="14.39999961853027" customHeight="1" s="213">
      <c r="A28" s="126" t="n"/>
      <c r="B28" s="126" t="n"/>
      <c r="C28" s="126" t="n"/>
      <c r="D28" s="126" t="n"/>
      <c r="E28" s="126" t="n"/>
      <c r="F28" s="126" t="n"/>
      <c r="G28" s="126" t="n"/>
      <c r="H28" s="126" t="n"/>
      <c r="I28" s="126" t="str"/>
      <c r="J28" s="126" t="str"/>
      <c r="K28" s="126" t="str"/>
    </row>
    <row r="29" ht="14.39999961853027" customHeight="1" s="213">
      <c r="A29" s="126" t="n"/>
      <c r="B29" s="126" t="n"/>
      <c r="C29" s="126" t="n"/>
      <c r="D29" s="126" t="n"/>
      <c r="E29" s="126" t="n"/>
      <c r="F29" s="126" t="n"/>
      <c r="G29" s="126" t="n"/>
      <c r="H29" s="126" t="n"/>
      <c r="I29" s="126" t="str"/>
      <c r="J29" s="126" t="str"/>
      <c r="K29" s="126" t="str"/>
    </row>
    <row r="30" ht="14.39999961853027" customHeight="1" s="213">
      <c r="A30" s="126" t="n"/>
      <c r="B30" s="126" t="n"/>
      <c r="C30" s="126" t="n"/>
      <c r="D30" s="126" t="n"/>
      <c r="E30" s="126" t="n"/>
      <c r="F30" s="126" t="n"/>
      <c r="G30" s="126" t="n"/>
      <c r="H30" s="126" t="n"/>
      <c r="I30" s="126" t="n"/>
      <c r="J30" s="126" t="n"/>
      <c r="K30" s="126" t="n"/>
    </row>
    <row r="31" ht="14.39999961853027" customHeight="1" s="213">
      <c r="A31" s="126" t="n">
        <v>31</v>
      </c>
      <c r="B31" s="126" t="inlineStr">
        <is>
          <t>U2 Confidence derivation</t>
        </is>
      </c>
      <c r="C31" s="126" t="inlineStr">
        <is>
          <t>PARTIAL — REMOTE IMPLEMENTATION / LIVE_PROOF_PENDING</t>
        </is>
      </c>
      <c r="D31" s="126" t="inlineStr">
        <is>
          <t>Remote branch includes commit 8ecdde70 with deterministic confidence implementation; focused local tests green. Live server/API artifact proof is still pending.</t>
        </is>
      </c>
      <c r="E31" s="126" t="inlineStr">
        <is>
          <t>Confidence derivation is implemented and pushed, but not RESOLVED under doctrine until live proof shows governance.confidence_label + confidence_reasons in persisted/API artifact.</t>
        </is>
      </c>
      <c r="F31" s="126" t="inlineStr">
        <is>
          <t>Live proof missing.</t>
        </is>
      </c>
      <c r="G31" s="126" t="inlineStr">
        <is>
          <t>Run U2 closure proof; capture governance.confidence_label, confidence_reasons, propagation_summary, and progress.gate_enforcement.</t>
        </is>
      </c>
      <c r="H31" s="126" t="inlineStr">
        <is>
          <t>2026-04-28</t>
        </is>
      </c>
      <c r="I31" s="126" t="inlineStr">
        <is>
          <t>RCA-U2-003</t>
        </is>
      </c>
      <c r="J31" s="126" t="inlineStr">
        <is>
          <t>SYSTEM</t>
        </is>
      </c>
      <c r="K31" s="126" t="inlineStr">
        <is>
          <t>LIVE_PROOF_PENDING</t>
        </is>
      </c>
    </row>
    <row r="32" ht="14.39999961853027" customHeight="1" s="213">
      <c r="A32" s="126" t="n">
        <v>32</v>
      </c>
      <c r="B32" s="126" t="inlineStr">
        <is>
          <t>U2 Propagation layer</t>
        </is>
      </c>
      <c r="C32" s="126" t="inlineStr">
        <is>
          <t>NOT_STARTED</t>
        </is>
      </c>
      <c r="D32" s="126" t="inlineStr">
        <is>
          <t>RCA-U2-004 inserted</t>
        </is>
      </c>
      <c r="E32" s="126" t="inlineStr">
        <is>
          <t>Per-criterion weakness must propagate to artifact authority.</t>
        </is>
      </c>
      <c r="F32" s="126" t="inlineStr">
        <is>
          <t>Depends on derived confidence.</t>
        </is>
      </c>
      <c r="G32" s="126" t="inlineStr">
        <is>
          <t>Close RCA-U2-004 after U2-003.</t>
        </is>
      </c>
      <c r="H32" s="126" t="inlineStr">
        <is>
          <t>2026-04-27</t>
        </is>
      </c>
      <c r="I32" s="126" t="inlineStr">
        <is>
          <t>RCA-U2-004</t>
        </is>
      </c>
      <c r="J32" s="126" t="inlineStr">
        <is>
          <t>SYSTEM</t>
        </is>
      </c>
      <c r="K32" s="126" t="inlineStr">
        <is>
          <t>RCA-U2-003</t>
        </is>
      </c>
    </row>
    <row r="33" ht="14.39999961853027" customHeight="1" s="213">
      <c r="A33" s="126" t="n">
        <v>33</v>
      </c>
      <c r="B33" s="126" t="inlineStr">
        <is>
          <t>U2 Score-confidence enforcement</t>
        </is>
      </c>
      <c r="C33" s="126" t="inlineStr">
        <is>
          <t>NOT_STARTED</t>
        </is>
      </c>
      <c r="D33" s="126" t="inlineStr">
        <is>
          <t>RCA-U2-001 inserted</t>
        </is>
      </c>
      <c r="E33" s="126" t="inlineStr">
        <is>
          <t>Low confidence must constrain score authority.</t>
        </is>
      </c>
      <c r="F33" s="126" t="inlineStr">
        <is>
          <t>Depends on derived confidence.</t>
        </is>
      </c>
      <c r="G33" s="126" t="inlineStr">
        <is>
          <t>Close RCA-U2-001 after U2-003.</t>
        </is>
      </c>
      <c r="H33" s="126" t="inlineStr">
        <is>
          <t>2026-04-27</t>
        </is>
      </c>
      <c r="I33" s="126" t="inlineStr">
        <is>
          <t>RCA-U2-001</t>
        </is>
      </c>
      <c r="J33" s="126" t="inlineStr">
        <is>
          <t>SYSTEM</t>
        </is>
      </c>
      <c r="K33" s="126" t="inlineStr">
        <is>
          <t>RCA-U2-003</t>
        </is>
      </c>
    </row>
    <row r="34" ht="14.39999961853027" customHeight="1" s="213">
      <c r="A34" s="126" t="n">
        <v>34</v>
      </c>
      <c r="B34" s="126" t="inlineStr">
        <is>
          <t>U2 Evidence anchor enforcement</t>
        </is>
      </c>
      <c r="C34" s="126" t="inlineStr">
        <is>
          <t>PARTIAL — REMOTE IMPLEMENTATION / LIVE_PROOF_PENDING</t>
        </is>
      </c>
      <c r="D34" s="126" t="inlineStr">
        <is>
          <t>Remote branch includes commit 8ecdde70 with runPass2 NO_TEXTUAL_ANCHOR/anchor enforcement and runPass2.anchor-enforcement.test.ts; focused local tests green.</t>
        </is>
      </c>
      <c r="E34" s="126" t="inlineStr">
        <is>
          <t>Anchor enforcement is implemented and pushed, but not RESOLVED until live/real-path proof shows reason_codes / NO_TEXTUAL_ANCHOR behavior when applicable.</t>
        </is>
      </c>
      <c r="F34" s="126" t="inlineStr">
        <is>
          <t>Live proof missing.</t>
        </is>
      </c>
      <c r="G34" s="126" t="inlineStr">
        <is>
          <t>Run U2 closure proof; capture anchor-enforcement reason codes and persisted/API artifact evidence.</t>
        </is>
      </c>
      <c r="H34" s="126" t="inlineStr">
        <is>
          <t>2026-04-28</t>
        </is>
      </c>
      <c r="I34" s="126" t="inlineStr">
        <is>
          <t>RCA-U2-006</t>
        </is>
      </c>
      <c r="J34" s="126" t="inlineStr">
        <is>
          <t>MODEL + SYSTEM</t>
        </is>
      </c>
      <c r="K34" s="126" t="inlineStr">
        <is>
          <t>LIVE_PROOF_PENDING</t>
        </is>
      </c>
    </row>
    <row r="35" ht="14.39999961853027" customHeight="1" s="213">
      <c r="A35" s="126" t="n">
        <v>35</v>
      </c>
      <c r="B35" s="126" t="inlineStr">
        <is>
          <t>U2 Summary anti-washing</t>
        </is>
      </c>
      <c r="C35" s="126" t="inlineStr">
        <is>
          <t>NOT_STARTED</t>
        </is>
      </c>
      <c r="D35" s="126" t="inlineStr">
        <is>
          <t>RCA-U2-002 inserted</t>
        </is>
      </c>
      <c r="E35" s="126" t="inlineStr">
        <is>
          <t>Pass3 summary must not smooth lowest-scoring weakness away.</t>
        </is>
      </c>
      <c r="F35" s="126" t="inlineStr">
        <is>
          <t>Depends on evidence anchor enforcement.</t>
        </is>
      </c>
      <c r="G35" s="126" t="inlineStr">
        <is>
          <t>Close RCA-U2-002 after U2-006.</t>
        </is>
      </c>
      <c r="H35" s="126" t="inlineStr">
        <is>
          <t>2026-04-27</t>
        </is>
      </c>
      <c r="I35" s="126" t="inlineStr">
        <is>
          <t>RCA-U2-002</t>
        </is>
      </c>
      <c r="J35" s="126" t="inlineStr">
        <is>
          <t>SYSTEM</t>
        </is>
      </c>
      <c r="K35" s="126" t="inlineStr">
        <is>
          <t>RCA-U2-006</t>
        </is>
      </c>
    </row>
    <row r="36" ht="14.39999961853027" customHeight="1" s="213">
      <c r="A36" s="126" t="n">
        <v>36</v>
      </c>
      <c r="B36" s="126" t="inlineStr">
        <is>
          <t>U2 UI authority lock</t>
        </is>
      </c>
      <c r="C36" s="126" t="inlineStr">
        <is>
          <t>NOT_STARTED</t>
        </is>
      </c>
      <c r="D36" s="126" t="inlineStr">
        <is>
          <t>RCA-U2-005 inserted</t>
        </is>
      </c>
      <c r="E36" s="126" t="inlineStr">
        <is>
          <t>Report UI must not show high-confidence authority on weak/mixed artifact.</t>
        </is>
      </c>
      <c r="F36" s="126" t="inlineStr">
        <is>
          <t>Depends on propagation layer.</t>
        </is>
      </c>
      <c r="G36" s="126" t="inlineStr">
        <is>
          <t>Close RCA-U2-005 after U2-004.</t>
        </is>
      </c>
      <c r="H36" s="126" t="inlineStr">
        <is>
          <t>2026-04-27</t>
        </is>
      </c>
      <c r="I36" s="126" t="inlineStr">
        <is>
          <t>RCA-U2-005</t>
        </is>
      </c>
      <c r="J36" s="126" t="inlineStr">
        <is>
          <t>SYSTEM</t>
        </is>
      </c>
      <c r="K36" s="126" t="inlineStr">
        <is>
          <t>RCA-U2-004</t>
        </is>
      </c>
    </row>
    <row r="37" ht="14.39999961853027" customHeight="1" s="213">
      <c r="A37" s="126" t="n">
        <v>37</v>
      </c>
      <c r="B37" s="126" t="inlineStr">
        <is>
          <t>BOUNDARY_VALIDATION_SHAPE_GAP</t>
        </is>
      </c>
      <c r="C37" s="126" t="inlineStr">
        <is>
          <t>RESOLVED</t>
        </is>
      </c>
      <c r="D37" s="126" t="inlineStr">
        <is>
          <t>Live SQL evidence: complete job 533a77a5-11cd-4b06-9167-41332cd12390 has progress.gate_enforcement populated; artifact_schema=evaluation_result_v2; completed_at=2026-04-27T04:26:09.436+00:00.</t>
        </is>
      </c>
      <c r="E37" s="126" t="inlineStr">
        <is>
          <t>Boundary raw-shape concern resolved; prior gate_enforcement:null confusion was a query-shape issue (top-level column vs progress JSONB), not a code defect.</t>
        </is>
      </c>
      <c r="F37" s="126" t="inlineStr">
        <is>
          <t>None.</t>
        </is>
      </c>
      <c r="G37" s="126" t="inlineStr">
        <is>
          <t>Keep regression and query progress-&gt;'gate_enforcement' for future live checks.</t>
        </is>
      </c>
      <c r="H37" s="126" t="inlineStr">
        <is>
          <t>2026-04-27</t>
        </is>
      </c>
      <c r="I37" s="126" t="inlineStr">
        <is>
          <t>RCA-BOUNDARY-SHAPE-001</t>
        </is>
      </c>
      <c r="J37" s="126" t="inlineStr">
        <is>
          <t>PROOF_GAP_CLOSED</t>
        </is>
      </c>
      <c r="K37" s="126" t="inlineStr">
        <is>
          <t>NONE</t>
        </is>
      </c>
    </row>
    <row r="38" ht="14.39999961853027" customHeight="1" s="213">
      <c r="A38" s="126" t="n"/>
      <c r="B38" s="126" t="n"/>
      <c r="C38" s="126" t="n"/>
      <c r="D38" s="126" t="n"/>
      <c r="E38" s="126" t="n"/>
      <c r="F38" s="126" t="n"/>
      <c r="G38" s="126" t="n"/>
      <c r="H38" s="126" t="n"/>
      <c r="I38" s="126" t="n"/>
      <c r="J38" s="126" t="n"/>
      <c r="K38" s="126" t="n"/>
    </row>
    <row r="39" ht="14.39999961853027" customHeight="1" s="213">
      <c r="A39" s="126" t="n"/>
      <c r="B39" s="126" t="n"/>
      <c r="C39" s="126" t="n"/>
      <c r="D39" s="126" t="n"/>
      <c r="E39" s="126" t="n"/>
      <c r="F39" s="126" t="n"/>
      <c r="G39" s="126" t="n"/>
      <c r="H39" s="126" t="n"/>
      <c r="I39" s="126" t="n"/>
      <c r="J39" s="126" t="n"/>
      <c r="K39" s="126" t="n"/>
    </row>
    <row r="40">
      <c r="A40" s="284" t="n"/>
      <c r="B40" s="284" t="inlineStr">
        <is>
          <t>QUALITY_STATE</t>
        </is>
      </c>
      <c r="C40" s="284" t="inlineStr">
        <is>
          <t>NOT_ENFORCED</t>
        </is>
      </c>
      <c r="D40" s="284" t="inlineStr">
        <is>
          <t>PV115 complete run f64c3266 shows generic recommendations, confidence-authority mismatch, Pass3 compression and weak traceability.</t>
        </is>
      </c>
      <c r="E40" s="284" t="inlineStr">
        <is>
          <t>System is structurally validated but semantically permissive.</t>
        </is>
      </c>
      <c r="F40" s="284" t="inlineStr">
        <is>
          <t>Quality RCAs pending; repo trace required before exact gate placement.</t>
        </is>
      </c>
      <c r="G40" s="284" t="inlineStr">
        <is>
          <t>Address Pass1 budget blocker, then read-only trace job 3b5bc57a, then implement quality gates.</t>
        </is>
      </c>
      <c r="H40" s="284" t="inlineStr">
        <is>
          <t>2026-04-28</t>
        </is>
      </c>
      <c r="I40" s="284" t="inlineStr">
        <is>
          <t>RCA-EVAL-QUALITY-001..005</t>
        </is>
      </c>
      <c r="J40" s="284" t="inlineStr">
        <is>
          <t>SEMANTIC_ACCEPTANCE_GAP</t>
        </is>
      </c>
      <c r="K40" s="126" t="n"/>
    </row>
    <row r="41">
      <c r="A41" s="284" t="n"/>
      <c r="B41" s="284" t="inlineStr">
        <is>
          <t>PASS1_O3_BUDGET_BLOCKER</t>
        </is>
      </c>
      <c r="C41" s="284" t="inlineStr">
        <is>
          <t>OPEN / BLOCKING</t>
        </is>
      </c>
      <c r="D41" s="284" t="inlineStr">
        <is>
          <t>Job 6abcc20c: max_output_tokens=1800 consumed by reasoning; empty content; no artifacts; gate fields null.</t>
        </is>
      </c>
      <c r="E41" s="284" t="inlineStr">
        <is>
          <t>Live U2/quality validation cannot proceed reliably while Pass1 fails before downstream layers.</t>
        </is>
      </c>
      <c r="F41" s="284" t="inlineStr">
        <is>
          <t>Model/budget strategy not chosen.</t>
        </is>
      </c>
      <c r="G41" s="284" t="inlineStr">
        <is>
          <t>No-run strategy proposal first; no further evaluations until resolved.</t>
        </is>
      </c>
      <c r="H41" s="284" t="inlineStr">
        <is>
          <t>2026-04-28</t>
        </is>
      </c>
      <c r="I41" s="284" t="inlineStr">
        <is>
          <t>RCA-PASS1-TOKEN-001</t>
        </is>
      </c>
      <c r="J41" s="284" t="inlineStr">
        <is>
          <t>MODEL_BUDGET_STRATEGY</t>
        </is>
      </c>
      <c r="K41" s="126" t="n"/>
    </row>
    <row r="42">
      <c r="A42" s="284" t="n"/>
      <c r="B42" s="284" t="inlineStr">
        <is>
          <t>ENV_CONTRACT_TYPING</t>
        </is>
      </c>
      <c r="C42" s="284" t="inlineStr">
        <is>
          <t>READY_FOR_PR</t>
        </is>
      </c>
      <c r="D42" s="284" t="inlineStr">
        <is>
          <t>Strict ProcessEnv test fixture issue identified; minimal test-only patch specified.</t>
        </is>
      </c>
      <c r="E42" s="284" t="inlineStr">
        <is>
          <t>CI/test typing cleanup is isolated and should not touch runtime code.</t>
        </is>
      </c>
      <c r="F42" s="284" t="inlineStr">
        <is>
          <t>PR not yet opened/applied in repo from workbook evidence.</t>
        </is>
      </c>
      <c r="G42" s="284" t="inlineStr">
        <is>
          <t>Create surgical PR with helper casts and NODE_ENV:"test" fixtures.</t>
        </is>
      </c>
      <c r="H42" s="284" t="inlineStr">
        <is>
          <t>2026-04-28</t>
        </is>
      </c>
      <c r="I42" s="284" t="inlineStr">
        <is>
          <t>RCA-ENV-CONTRACT-TYPING-001</t>
        </is>
      </c>
      <c r="J42" s="284" t="inlineStr">
        <is>
          <t>TEST_FIXTURE_TYPING</t>
        </is>
      </c>
      <c r="K42" s="126" t="n"/>
    </row>
    <row r="43">
      <c r="A43" s="284" t="n"/>
      <c r="B43" s="284" t="inlineStr">
        <is>
          <t>U2_ENFORCEMENT_SPECS</t>
        </is>
      </c>
      <c r="C43" s="284" t="inlineStr">
        <is>
          <t>SPEC_COMPLETE / RUNTIME_PARTIAL</t>
        </is>
      </c>
      <c r="D43" s="284" t="inlineStr">
        <is>
          <t>U2 RCA definitions include inputs, outputs, metrics, thresholds, promotion rules and proof requirements.</t>
        </is>
      </c>
      <c r="E43" s="284" t="inlineStr">
        <is>
          <t>Specs exist; runtime enforcement is incomplete.</t>
        </is>
      </c>
      <c r="F43" s="284" t="inlineStr">
        <is>
          <t>U2-001/002/004/005 pending; U2-003/006 live proof pending.</t>
        </is>
      </c>
      <c r="G43" s="284" t="inlineStr">
        <is>
          <t>Convert RCA-U2-001..006 into hard runtime gates and live proof.</t>
        </is>
      </c>
      <c r="H43" s="284" t="inlineStr">
        <is>
          <t>2026-04-28</t>
        </is>
      </c>
      <c r="I43" s="284" t="inlineStr">
        <is>
          <t>RCA-U2-001..006</t>
        </is>
      </c>
      <c r="J43" s="284" t="inlineStr">
        <is>
          <t>ENFORCEMENT_GAP</t>
        </is>
      </c>
      <c r="K43" s="126" t="n"/>
    </row>
  </sheetData>
  <mergeCells count="1">
    <mergeCell ref="A1:G1"/>
  </mergeCells>
  <conditionalFormatting sqref="C3:C25">
    <cfRule type="containsText" priority="10" operator="containsText" dxfId="6" text="ENFORCED"/>
    <cfRule type="containsText" priority="11" operator="containsText" dxfId="5" text="STRUCTURAL"/>
    <cfRule type="containsText" priority="12" operator="containsText" dxfId="2" text="EMPIRICAL PENDING"/>
    <cfRule type="containsText" priority="13" operator="containsText" dxfId="3" text="OPEN"/>
    <cfRule type="containsText" priority="14" operator="containsText" dxfId="2" text="PENDING"/>
    <cfRule type="containsText" priority="15" operator="containsText" dxfId="1" text="NONE"/>
    <cfRule type="containsText" priority="16" operator="containsText" dxfId="0" text="OBSERVED"/>
  </conditionalFormatting>
  <conditionalFormatting sqref="D3:D27">
    <cfRule type="expression" priority="2" dxfId="28">
      <formula>$D3="ENFORCED"</formula>
    </cfRule>
    <cfRule type="expression" priority="3" dxfId="27">
      <formula>$D3="OBSERVED"</formula>
    </cfRule>
    <cfRule type="expression" priority="4" dxfId="26">
      <formula>$D3="NONE"</formula>
    </cfRule>
  </conditionalFormatting>
  <conditionalFormatting sqref="D3:D28">
    <cfRule type="cellIs" priority="5" operator="equal" dxfId="6">
      <formula>"ENFORCED"</formula>
    </cfRule>
    <cfRule type="cellIs" priority="6" operator="equal" dxfId="24">
      <formula>"OBSERVED"</formula>
    </cfRule>
    <cfRule type="cellIs" priority="7" operator="equal" dxfId="15">
      <formula>"NONE"</formula>
    </cfRule>
  </conditionalFormatting>
  <conditionalFormatting sqref="E3:E28">
    <cfRule type="cellIs" priority="8" operator="equal" dxfId="15">
      <formula>"YES"</formula>
    </cfRule>
    <cfRule type="cellIs" priority="9" operator="equal" dxfId="6">
      <formula>"NO"</formula>
    </cfRule>
  </conditionalFormatting>
  <dataValidations count="3">
    <dataValidation sqref="D3:D28" showDropDown="0" showInputMessage="0" showErrorMessage="0" allowBlank="0" type="list">
      <formula1>"NONE,OBSERVED,ENFORCED"</formula1>
      <formula2>0</formula2>
    </dataValidation>
    <dataValidation sqref="C3:C27" showDropDown="0" showInputMessage="0" showErrorMessage="0" allowBlank="1" type="list">
      <formula1>"DONE,PARTIAL,PENDING,OPEN,STABLE,WORKING,DESIGNED,NOT IMPLEMENTED"</formula1>
      <formula2>0</formula2>
    </dataValidation>
    <dataValidation sqref="E3:E28" showDropDown="0" showInputMessage="0" showErrorMessage="0" allowBlank="0" type="list">
      <formula1>"YES,NO"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1"/>
    <col width="18" customWidth="1" style="213" min="11" max="11"/>
  </cols>
  <sheetData>
    <row r="1" ht="28.04999923706055" customHeight="1" s="213">
      <c r="A1" s="263" t="inlineStr">
        <is>
          <t>U_GATES_ENFORCEMENT — U1 advanced, U2 now primary blocker</t>
        </is>
      </c>
      <c r="B1" s="264" t="n"/>
      <c r="C1" s="264" t="n"/>
      <c r="D1" s="264" t="n"/>
      <c r="E1" s="264" t="n"/>
      <c r="F1" s="264" t="n"/>
      <c r="G1" s="264" t="n"/>
      <c r="H1" s="265" t="n"/>
      <c r="I1" s="276" t="n"/>
      <c r="J1" s="276" t="n"/>
      <c r="K1" s="277" t="n"/>
    </row>
    <row r="2" ht="31.95000076293945" customHeight="1" s="213">
      <c r="A2" s="285" t="inlineStr">
        <is>
          <t>Gate</t>
        </is>
      </c>
      <c r="B2" s="286" t="inlineStr">
        <is>
          <t>Area</t>
        </is>
      </c>
      <c r="C2" s="286" t="inlineStr">
        <is>
          <t>Check</t>
        </is>
      </c>
      <c r="D2" s="286" t="inlineStr">
        <is>
          <t>Must</t>
        </is>
      </c>
      <c r="E2" s="286" t="inlineStr">
        <is>
          <t>Level</t>
        </is>
      </c>
      <c r="F2" s="286" t="inlineStr">
        <is>
          <t>Owner</t>
        </is>
      </c>
      <c r="G2" s="286" t="inlineStr">
        <is>
          <t>Target PR / Branch</t>
        </is>
      </c>
      <c r="H2" s="286" t="inlineStr">
        <is>
          <t>Target Date</t>
        </is>
      </c>
      <c r="I2" s="286" t="inlineStr">
        <is>
          <t>Can Fail Silently?</t>
        </is>
      </c>
      <c r="J2" s="286" t="inlineStr">
        <is>
          <t>Gap</t>
        </is>
      </c>
      <c r="K2" s="270" t="inlineStr">
        <is>
          <t>Proof</t>
        </is>
      </c>
    </row>
    <row r="3" ht="54" customHeight="1" s="213">
      <c r="A3" s="133" t="inlineStr">
        <is>
          <t>U1</t>
        </is>
      </c>
      <c r="B3" s="134" t="inlineStr">
        <is>
          <t>Formula</t>
        </is>
      </c>
      <c r="C3" s="134" t="inlineStr">
        <is>
          <t>Canonical inputs only</t>
        </is>
      </c>
      <c r="D3" s="134" t="inlineStr">
        <is>
          <t>Y</t>
        </is>
      </c>
      <c r="E3" s="134" t="inlineStr">
        <is>
          <t>ENFORCED</t>
        </is>
      </c>
      <c r="F3" s="134" t="inlineStr">
        <is>
          <t>Mike</t>
        </is>
      </c>
      <c r="G3" s="134" t="inlineStr">
        <is>
          <t>Merged (#240)</t>
        </is>
      </c>
      <c r="H3" s="134" t="inlineStr">
        <is>
          <t>Done</t>
        </is>
      </c>
      <c r="I3" s="134" t="inlineStr">
        <is>
          <t>NO</t>
        </is>
      </c>
      <c r="J3" s="134" t="inlineStr">
        <is>
          <t>Scoped to persistence boundary; broader UI authority handled by U2</t>
        </is>
      </c>
      <c r="K3" s="135" t="inlineStr">
        <is>
          <t>Boundary guard + tests</t>
        </is>
      </c>
    </row>
    <row r="4" ht="54" customHeight="1" s="213">
      <c r="A4" s="136" t="inlineStr">
        <is>
          <t>U1</t>
        </is>
      </c>
      <c r="B4" s="137" t="inlineStr">
        <is>
          <t>Formula</t>
        </is>
      </c>
      <c r="C4" s="137" t="inlineStr">
        <is>
          <t>C1–C5 penalties implemented</t>
        </is>
      </c>
      <c r="D4" s="137" t="inlineStr">
        <is>
          <t>Y</t>
        </is>
      </c>
      <c r="E4" s="137" t="inlineStr">
        <is>
          <t>ENFORCED</t>
        </is>
      </c>
      <c r="F4" s="137" t="inlineStr">
        <is>
          <t>Mike</t>
        </is>
      </c>
      <c r="G4" s="137" t="inlineStr">
        <is>
          <t>Merged (#240)</t>
        </is>
      </c>
      <c r="H4" s="137" t="inlineStr">
        <is>
          <t>Done</t>
        </is>
      </c>
      <c r="I4" s="137" t="inlineStr">
        <is>
          <t>NO</t>
        </is>
      </c>
      <c r="J4" s="137" t="inlineStr">
        <is>
          <t>Boundary-scope confidence penalties enforced</t>
        </is>
      </c>
      <c r="K4" s="138" t="inlineStr">
        <is>
          <t>Boundary tests</t>
        </is>
      </c>
    </row>
    <row r="5" ht="54" customHeight="1" s="213">
      <c r="A5" s="136" t="inlineStr">
        <is>
          <t>U1</t>
        </is>
      </c>
      <c r="B5" s="137" t="inlineStr">
        <is>
          <t>Authority</t>
        </is>
      </c>
      <c r="C5" s="137" t="inlineStr">
        <is>
          <t>Single deriveConfidence path</t>
        </is>
      </c>
      <c r="D5" s="137" t="inlineStr">
        <is>
          <t>Y</t>
        </is>
      </c>
      <c r="E5" s="137" t="inlineStr">
        <is>
          <t>ENFORCED</t>
        </is>
      </c>
      <c r="F5" s="137" t="inlineStr">
        <is>
          <t>Mike</t>
        </is>
      </c>
      <c r="G5" s="137" t="inlineStr">
        <is>
          <t>Merged (#240)</t>
        </is>
      </c>
      <c r="H5" s="137" t="inlineStr">
        <is>
          <t>Done</t>
        </is>
      </c>
      <c r="I5" s="137" t="inlineStr">
        <is>
          <t>NO</t>
        </is>
      </c>
      <c r="J5" s="137" t="inlineStr">
        <is>
          <t>No shadow confidence in V2 persistence path</t>
        </is>
      </c>
      <c r="K5" s="138" t="inlineStr">
        <is>
          <t>Code search + guard</t>
        </is>
      </c>
    </row>
    <row r="6" ht="54" customHeight="1" s="213">
      <c r="A6" s="136" t="inlineStr">
        <is>
          <t>U1</t>
        </is>
      </c>
      <c r="B6" s="137" t="inlineStr">
        <is>
          <t>Release</t>
        </is>
      </c>
      <c r="C6" s="137" t="inlineStr">
        <is>
          <t>Confidence controls boundary release</t>
        </is>
      </c>
      <c r="D6" s="137" t="inlineStr">
        <is>
          <t>Y</t>
        </is>
      </c>
      <c r="E6" s="137" t="inlineStr">
        <is>
          <t>ENFORCED — boundary scope</t>
        </is>
      </c>
      <c r="F6" s="137" t="inlineStr">
        <is>
          <t>Mike</t>
        </is>
      </c>
      <c r="G6" s="137" t="inlineStr">
        <is>
          <t>Merged (#240)</t>
        </is>
      </c>
      <c r="H6" s="137" t="inlineStr">
        <is>
          <t>Done</t>
        </is>
      </c>
      <c r="I6" s="137" t="inlineStr">
        <is>
          <t>NO</t>
        </is>
      </c>
      <c r="J6" s="137" t="inlineStr">
        <is>
          <t>UI/product authority still U2</t>
        </is>
      </c>
      <c r="K6" s="138" t="inlineStr">
        <is>
          <t>Boundary fail-closed tests</t>
        </is>
      </c>
    </row>
    <row r="7" ht="54" customHeight="1" s="213">
      <c r="A7" s="136" t="inlineStr">
        <is>
          <t>U1</t>
        </is>
      </c>
      <c r="B7" s="137" t="inlineStr">
        <is>
          <t>Audit</t>
        </is>
      </c>
      <c r="C7" s="137" t="inlineStr">
        <is>
          <t>Penalty trace emitted</t>
        </is>
      </c>
      <c r="D7" s="137" t="inlineStr">
        <is>
          <t>Y</t>
        </is>
      </c>
      <c r="E7" s="137" t="inlineStr">
        <is>
          <t>ENFORCED — boundary scope</t>
        </is>
      </c>
      <c r="F7" s="137" t="inlineStr">
        <is>
          <t>Mike</t>
        </is>
      </c>
      <c r="G7" s="137" t="inlineStr">
        <is>
          <t>U1 Audit closure</t>
        </is>
      </c>
      <c r="H7" s="137" t="inlineStr">
        <is>
          <t>Done</t>
        </is>
      </c>
      <c r="I7" s="137" t="inlineStr">
        <is>
          <t>NO</t>
        </is>
      </c>
      <c r="J7" s="137" t="inlineStr">
        <is>
          <t>Phase1 failures are separate PHASE_1_OBSERVABILITY row</t>
        </is>
      </c>
      <c r="K7" s="138" t="inlineStr">
        <is>
          <t>U1 closure + production IDs</t>
        </is>
      </c>
    </row>
    <row r="8" ht="54" customHeight="1" s="213">
      <c r="A8" s="136" t="inlineStr">
        <is>
          <t>U1</t>
        </is>
      </c>
      <c r="B8" s="137" t="inlineStr">
        <is>
          <t>Proof</t>
        </is>
      </c>
      <c r="C8" s="137" t="inlineStr">
        <is>
          <t>Bad cases lower/block confidence</t>
        </is>
      </c>
      <c r="D8" s="137" t="inlineStr">
        <is>
          <t>Y</t>
        </is>
      </c>
      <c r="E8" s="137" t="inlineStr">
        <is>
          <t>ENFORCED — boundary scope</t>
        </is>
      </c>
      <c r="F8" s="137" t="inlineStr">
        <is>
          <t>Mike</t>
        </is>
      </c>
      <c r="G8" s="137" t="inlineStr">
        <is>
          <t>Merged (#240)</t>
        </is>
      </c>
      <c r="H8" s="137" t="inlineStr">
        <is>
          <t>Done</t>
        </is>
      </c>
      <c r="I8" s="137" t="inlineStr">
        <is>
          <t>NO</t>
        </is>
      </c>
      <c r="J8" s="137" t="inlineStr">
        <is>
          <t>Golden breadth can expand later</t>
        </is>
      </c>
      <c r="K8" s="138" t="inlineStr">
        <is>
          <t>Boundary fixtures</t>
        </is>
      </c>
    </row>
    <row r="9" ht="54" customHeight="1" s="213">
      <c r="A9" s="136" t="inlineStr">
        <is>
          <t>U2</t>
        </is>
      </c>
      <c r="B9" s="137" t="inlineStr">
        <is>
          <t>Signals</t>
        </is>
      </c>
      <c r="C9" s="137" t="inlineStr">
        <is>
          <t>Pass 1/2 weakness flags</t>
        </is>
      </c>
      <c r="D9" s="137" t="inlineStr">
        <is>
          <t>Y</t>
        </is>
      </c>
      <c r="E9" s="137" t="inlineStr">
        <is>
          <t>OBSERVED</t>
        </is>
      </c>
      <c r="F9" s="137" t="inlineStr">
        <is>
          <t>Mike</t>
        </is>
      </c>
      <c r="G9" s="137" t="inlineStr">
        <is>
          <t>Next: U2 fidelity PR</t>
        </is>
      </c>
      <c r="H9" s="137" t="inlineStr">
        <is>
          <t>2026-04-27</t>
        </is>
      </c>
      <c r="I9" s="137" t="inlineStr">
        <is>
          <t>YES</t>
        </is>
      </c>
      <c r="J9" s="137" t="inlineStr">
        <is>
          <t>Signals exist but do not fully control artifact authority</t>
        </is>
      </c>
      <c r="K9" s="138" t="inlineStr">
        <is>
          <t>PV115 critique + repo trace</t>
        </is>
      </c>
    </row>
    <row r="10" ht="54" customHeight="1" s="213">
      <c r="A10" s="136" t="inlineStr">
        <is>
          <t>U2</t>
        </is>
      </c>
      <c r="B10" s="137" t="inlineStr">
        <is>
          <t>Handoff</t>
        </is>
      </c>
      <c r="C10" s="137" t="inlineStr">
        <is>
          <t>Weakness reaches governance</t>
        </is>
      </c>
      <c r="D10" s="137" t="inlineStr">
        <is>
          <t>Y</t>
        </is>
      </c>
      <c r="E10" s="137" t="inlineStr">
        <is>
          <t>PENDING</t>
        </is>
      </c>
      <c r="F10" s="137" t="inlineStr">
        <is>
          <t>Mike</t>
        </is>
      </c>
      <c r="G10" s="137" t="inlineStr">
        <is>
          <t>Next: U2 fidelity PR</t>
        </is>
      </c>
      <c r="H10" s="137" t="inlineStr">
        <is>
          <t>2026-04-27</t>
        </is>
      </c>
      <c r="I10" s="137" t="inlineStr">
        <is>
          <t>YES</t>
        </is>
      </c>
      <c r="J10" s="137" t="inlineStr">
        <is>
          <t>Propagation summary not enforced</t>
        </is>
      </c>
      <c r="K10" s="138" t="inlineStr">
        <is>
          <t>Add propagation_summary</t>
        </is>
      </c>
    </row>
    <row r="11" ht="54" customHeight="1" s="213">
      <c r="A11" s="136" t="inlineStr">
        <is>
          <t>U2</t>
        </is>
      </c>
      <c r="B11" s="137" t="inlineStr">
        <is>
          <t>Penalty</t>
        </is>
      </c>
      <c r="C11" s="137" t="inlineStr">
        <is>
          <t>Weakness reduces confidence/validity</t>
        </is>
      </c>
      <c r="D11" s="137" t="inlineStr">
        <is>
          <t>Y</t>
        </is>
      </c>
      <c r="E11" s="137" t="inlineStr">
        <is>
          <t>PENDING</t>
        </is>
      </c>
      <c r="F11" s="137" t="inlineStr">
        <is>
          <t>Mike</t>
        </is>
      </c>
      <c r="G11" s="137" t="inlineStr">
        <is>
          <t>Next: U2 fidelity PR</t>
        </is>
      </c>
      <c r="H11" s="137" t="inlineStr">
        <is>
          <t>2026-04-27</t>
        </is>
      </c>
      <c r="I11" s="137" t="inlineStr">
        <is>
          <t>YES</t>
        </is>
      </c>
      <c r="J11" s="137" t="inlineStr">
        <is>
          <t>Confidence can be decorative</t>
        </is>
      </c>
      <c r="K11" s="138" t="inlineStr">
        <is>
          <t>Derived confidence rules</t>
        </is>
      </c>
    </row>
    <row r="12" ht="54" customHeight="1" s="213">
      <c r="A12" s="136" t="inlineStr">
        <is>
          <t>U2</t>
        </is>
      </c>
      <c r="B12" s="137" t="inlineStr">
        <is>
          <t>Non-bypass</t>
        </is>
      </c>
      <c r="C12" s="137" t="inlineStr">
        <is>
          <t>Pass 3 cannot discard weakness</t>
        </is>
      </c>
      <c r="D12" s="137" t="inlineStr">
        <is>
          <t>Y</t>
        </is>
      </c>
      <c r="E12" s="137" t="inlineStr">
        <is>
          <t>PENDING</t>
        </is>
      </c>
      <c r="F12" s="137" t="inlineStr">
        <is>
          <t>Mike</t>
        </is>
      </c>
      <c r="G12" s="137" t="inlineStr">
        <is>
          <t>Next: U2 fidelity PR</t>
        </is>
      </c>
      <c r="H12" s="137" t="inlineStr">
        <is>
          <t>2026-04-27</t>
        </is>
      </c>
      <c r="I12" s="137" t="inlineStr">
        <is>
          <t>YES</t>
        </is>
      </c>
      <c r="J12" s="137" t="inlineStr">
        <is>
          <t>Summary can wash over low scores</t>
        </is>
      </c>
      <c r="K12" s="138" t="inlineStr">
        <is>
          <t>QG_SUMMARY_OMITS_WEAKNESS</t>
        </is>
      </c>
    </row>
    <row r="13" ht="54" customHeight="1" s="213">
      <c r="A13" s="136" t="inlineStr">
        <is>
          <t>U2</t>
        </is>
      </c>
      <c r="B13" s="137" t="inlineStr">
        <is>
          <t>Artifact</t>
        </is>
      </c>
      <c r="C13" s="137" t="inlineStr">
        <is>
          <t>Propagation summary emitted</t>
        </is>
      </c>
      <c r="D13" s="137" t="inlineStr">
        <is>
          <t>Y</t>
        </is>
      </c>
      <c r="E13" s="137" t="inlineStr">
        <is>
          <t>PENDING</t>
        </is>
      </c>
      <c r="F13" s="137" t="inlineStr">
        <is>
          <t>Mike</t>
        </is>
      </c>
      <c r="G13" s="137" t="inlineStr">
        <is>
          <t>Next: U2 fidelity PR</t>
        </is>
      </c>
      <c r="H13" s="137" t="inlineStr">
        <is>
          <t>2026-04-27</t>
        </is>
      </c>
      <c r="I13" s="137" t="inlineStr">
        <is>
          <t>YES</t>
        </is>
      </c>
      <c r="J13" s="137" t="inlineStr">
        <is>
          <t>No persisted propagation trace yet</t>
        </is>
      </c>
      <c r="K13" s="138" t="inlineStr">
        <is>
          <t>persistEvaluationResultV2 gate_enforcement</t>
        </is>
      </c>
    </row>
    <row r="14" ht="54" customHeight="1" s="213">
      <c r="A14" s="136" t="inlineStr">
        <is>
          <t>U2</t>
        </is>
      </c>
      <c r="B14" s="137" t="inlineStr">
        <is>
          <t>Proof</t>
        </is>
      </c>
      <c r="C14" s="137" t="inlineStr">
        <is>
          <t>Weak case cannot stay clean/high</t>
        </is>
      </c>
      <c r="D14" s="137" t="inlineStr">
        <is>
          <t>Y</t>
        </is>
      </c>
      <c r="E14" s="137" t="inlineStr">
        <is>
          <t>PENDING</t>
        </is>
      </c>
      <c r="F14" s="137" t="inlineStr">
        <is>
          <t>Mike</t>
        </is>
      </c>
      <c r="G14" s="137" t="inlineStr">
        <is>
          <t>Next: U2 fidelity PR</t>
        </is>
      </c>
      <c r="H14" s="137" t="inlineStr">
        <is>
          <t>2026-04-27</t>
        </is>
      </c>
      <c r="I14" s="137" t="inlineStr">
        <is>
          <t>YES</t>
        </is>
      </c>
      <c r="J14" s="137" t="inlineStr">
        <is>
          <t>Need contradiction/golden fixtures</t>
        </is>
      </c>
      <c r="K14" s="138" t="inlineStr">
        <is>
          <t>PV115 fixture</t>
        </is>
      </c>
    </row>
    <row r="15" ht="54" customHeight="1" s="213">
      <c r="A15" s="136" t="inlineStr">
        <is>
          <t>U3</t>
        </is>
      </c>
      <c r="B15" s="137" t="inlineStr">
        <is>
          <t>Detector</t>
        </is>
      </c>
      <c r="C15" s="137" t="inlineStr">
        <is>
          <t>Contradiction module exists</t>
        </is>
      </c>
      <c r="D15" s="137" t="inlineStr">
        <is>
          <t>Y</t>
        </is>
      </c>
      <c r="E15" s="137" t="inlineStr">
        <is>
          <t>PENDING</t>
        </is>
      </c>
      <c r="F15" s="137" t="inlineStr">
        <is>
          <t>Mike</t>
        </is>
      </c>
      <c r="G15" s="137" t="inlineStr">
        <is>
          <t>Post-U2</t>
        </is>
      </c>
      <c r="H15" s="137" t="inlineStr">
        <is>
          <t>TBD</t>
        </is>
      </c>
      <c r="I15" s="137" t="inlineStr">
        <is>
          <t>YES</t>
        </is>
      </c>
      <c r="J15" s="137" t="inlineStr">
        <is>
          <t>No detector</t>
        </is>
      </c>
      <c r="K15" s="138" t="inlineStr">
        <is>
          <t>Unit tests</t>
        </is>
      </c>
    </row>
    <row r="16" ht="54" customHeight="1" s="213">
      <c r="A16" s="136" t="inlineStr">
        <is>
          <t>U3</t>
        </is>
      </c>
      <c r="B16" s="137" t="inlineStr">
        <is>
          <t>Taxonomy</t>
        </is>
      </c>
      <c r="C16" s="137" t="inlineStr">
        <is>
          <t>Rules live in code</t>
        </is>
      </c>
      <c r="D16" s="137" t="inlineStr">
        <is>
          <t>Y</t>
        </is>
      </c>
      <c r="E16" s="137" t="inlineStr">
        <is>
          <t>PENDING</t>
        </is>
      </c>
      <c r="F16" s="137" t="inlineStr">
        <is>
          <t>Mike</t>
        </is>
      </c>
      <c r="G16" s="137" t="inlineStr">
        <is>
          <t>Post-U2</t>
        </is>
      </c>
      <c r="H16" s="137" t="inlineStr">
        <is>
          <t>TBD</t>
        </is>
      </c>
      <c r="I16" s="137" t="inlineStr">
        <is>
          <t>YES</t>
        </is>
      </c>
      <c r="J16" s="137" t="inlineStr">
        <is>
          <t>No taxonomy</t>
        </is>
      </c>
      <c r="K16" s="138" t="inlineStr">
        <is>
          <t>Canon/code map</t>
        </is>
      </c>
    </row>
    <row r="17" ht="54" customHeight="1" s="213">
      <c r="A17" s="136" t="inlineStr">
        <is>
          <t>U3</t>
        </is>
      </c>
      <c r="B17" s="137" t="inlineStr">
        <is>
          <t>Artifact</t>
        </is>
      </c>
      <c r="C17" s="137" t="inlineStr">
        <is>
          <t>contradictionCount/details emitted</t>
        </is>
      </c>
      <c r="D17" s="137" t="inlineStr">
        <is>
          <t>Y</t>
        </is>
      </c>
      <c r="E17" s="137" t="inlineStr">
        <is>
          <t>PENDING</t>
        </is>
      </c>
      <c r="F17" s="137" t="inlineStr">
        <is>
          <t>Mike</t>
        </is>
      </c>
      <c r="G17" s="137" t="inlineStr">
        <is>
          <t>Post-U2</t>
        </is>
      </c>
      <c r="H17" s="137" t="inlineStr">
        <is>
          <t>TBD</t>
        </is>
      </c>
      <c r="I17" s="137" t="inlineStr">
        <is>
          <t>YES</t>
        </is>
      </c>
      <c r="J17" s="137" t="inlineStr">
        <is>
          <t>No fields</t>
        </is>
      </c>
      <c r="K17" s="138" t="inlineStr">
        <is>
          <t>Schema test</t>
        </is>
      </c>
    </row>
    <row r="18" ht="54" customHeight="1" s="213">
      <c r="A18" s="136" t="inlineStr">
        <is>
          <t>U3</t>
        </is>
      </c>
      <c r="B18" s="137" t="inlineStr">
        <is>
          <t>Governance</t>
        </is>
      </c>
      <c r="C18" s="137" t="inlineStr">
        <is>
          <t>QualityGate reads contradictions</t>
        </is>
      </c>
      <c r="D18" s="137" t="inlineStr">
        <is>
          <t>Y</t>
        </is>
      </c>
      <c r="E18" s="137" t="inlineStr">
        <is>
          <t>PENDING</t>
        </is>
      </c>
      <c r="F18" s="137" t="inlineStr">
        <is>
          <t>Mike</t>
        </is>
      </c>
      <c r="G18" s="137" t="inlineStr">
        <is>
          <t>Post-U2</t>
        </is>
      </c>
      <c r="H18" s="137" t="inlineStr">
        <is>
          <t>TBD</t>
        </is>
      </c>
      <c r="I18" s="137" t="inlineStr">
        <is>
          <t>YES</t>
        </is>
      </c>
      <c r="J18" s="137" t="inlineStr">
        <is>
          <t>Not wired</t>
        </is>
      </c>
      <c r="K18" s="138" t="inlineStr">
        <is>
          <t>Integration</t>
        </is>
      </c>
    </row>
    <row r="19" ht="54" customHeight="1" s="213">
      <c r="A19" s="136" t="inlineStr">
        <is>
          <t>U3</t>
        </is>
      </c>
      <c r="B19" s="137" t="inlineStr">
        <is>
          <t>Confidence</t>
        </is>
      </c>
      <c r="C19" s="137" t="inlineStr">
        <is>
          <t>Contradictions reduce confidence</t>
        </is>
      </c>
      <c r="D19" s="137" t="inlineStr">
        <is>
          <t>Y</t>
        </is>
      </c>
      <c r="E19" s="137" t="inlineStr">
        <is>
          <t>PENDING</t>
        </is>
      </c>
      <c r="F19" s="137" t="inlineStr">
        <is>
          <t>Mike</t>
        </is>
      </c>
      <c r="G19" s="137" t="inlineStr">
        <is>
          <t>Post-U2</t>
        </is>
      </c>
      <c r="H19" s="137" t="inlineStr">
        <is>
          <t>TBD</t>
        </is>
      </c>
      <c r="I19" s="137" t="inlineStr">
        <is>
          <t>YES</t>
        </is>
      </c>
      <c r="J19" s="137" t="inlineStr">
        <is>
          <t>No penalty</t>
        </is>
      </c>
      <c r="K19" s="138" t="inlineStr">
        <is>
          <t>Regression</t>
        </is>
      </c>
    </row>
    <row r="20" ht="54" customHeight="1" s="213">
      <c r="A20" s="136" t="inlineStr">
        <is>
          <t>U3</t>
        </is>
      </c>
      <c r="B20" s="137" t="inlineStr">
        <is>
          <t>UI</t>
        </is>
      </c>
      <c r="C20" s="137" t="inlineStr">
        <is>
          <t>Contradictions surface as DISPUTED</t>
        </is>
      </c>
      <c r="D20" s="137" t="inlineStr">
        <is>
          <t>Y</t>
        </is>
      </c>
      <c r="E20" s="137" t="inlineStr">
        <is>
          <t>PENDING</t>
        </is>
      </c>
      <c r="F20" s="137" t="inlineStr">
        <is>
          <t>Mike</t>
        </is>
      </c>
      <c r="G20" s="137" t="inlineStr">
        <is>
          <t>Post-U2</t>
        </is>
      </c>
      <c r="H20" s="137" t="inlineStr">
        <is>
          <t>TBD</t>
        </is>
      </c>
      <c r="I20" s="137" t="inlineStr">
        <is>
          <t>YES</t>
        </is>
      </c>
      <c r="J20" s="137" t="inlineStr">
        <is>
          <t>No UI mapping</t>
        </is>
      </c>
      <c r="K20" s="138" t="inlineStr">
        <is>
          <t>UI test</t>
        </is>
      </c>
    </row>
    <row r="21" ht="54" customHeight="1" s="213">
      <c r="A21" s="136" t="inlineStr">
        <is>
          <t>U3</t>
        </is>
      </c>
      <c r="B21" s="137" t="inlineStr">
        <is>
          <t>Proof</t>
        </is>
      </c>
      <c r="C21" s="137" t="inlineStr">
        <is>
          <t>Contradiction cannot pass clean/high</t>
        </is>
      </c>
      <c r="D21" s="137" t="inlineStr">
        <is>
          <t>Y</t>
        </is>
      </c>
      <c r="E21" s="137" t="inlineStr">
        <is>
          <t>PENDING</t>
        </is>
      </c>
      <c r="F21" s="137" t="inlineStr">
        <is>
          <t>Mike</t>
        </is>
      </c>
      <c r="G21" s="137" t="inlineStr">
        <is>
          <t>Post-U2</t>
        </is>
      </c>
      <c r="H21" s="137" t="inlineStr">
        <is>
          <t>TBD</t>
        </is>
      </c>
      <c r="I21" s="137" t="inlineStr">
        <is>
          <t>YES</t>
        </is>
      </c>
      <c r="J21" s="137" t="inlineStr">
        <is>
          <t>Need golden case</t>
        </is>
      </c>
      <c r="K21" s="138" t="inlineStr">
        <is>
          <t>Golden harness</t>
        </is>
      </c>
    </row>
    <row r="22" ht="54" customHeight="1" s="213">
      <c r="A22" s="136" t="inlineStr">
        <is>
          <t>QG</t>
        </is>
      </c>
      <c r="B22" s="137" t="inlineStr">
        <is>
          <t>Dialogue Attribution</t>
        </is>
      </c>
      <c r="C22" s="137" t="inlineStr">
        <is>
          <t>Gate uses diagnostic truth, not lexical-only keywords</t>
        </is>
      </c>
      <c r="D22" s="137" t="inlineStr">
        <is>
          <t>Y</t>
        </is>
      </c>
      <c r="E22" s="137" t="inlineStr">
        <is>
          <t>ENFORCED — gate-level</t>
        </is>
      </c>
      <c r="F22" s="137" t="inlineStr">
        <is>
          <t>Mike</t>
        </is>
      </c>
      <c r="G22" s="137" t="inlineStr">
        <is>
          <t>PR #245</t>
        </is>
      </c>
      <c r="H22" s="137" t="inlineStr">
        <is>
          <t>Done</t>
        </is>
      </c>
      <c r="I22" s="137" t="inlineStr">
        <is>
          <t>NO</t>
        </is>
      </c>
      <c r="J22" s="137" t="inlineStr">
        <is>
          <t>Reachability constrained by upstream Pass1/LLR, not gate</t>
        </is>
      </c>
      <c r="K22" s="138" t="inlineStr">
        <is>
          <t>Post-fix reached-gate runs</t>
        </is>
      </c>
    </row>
    <row r="23" ht="54" customHeight="1" s="213">
      <c r="A23" s="136" t="inlineStr">
        <is>
          <t>QG</t>
        </is>
      </c>
      <c r="B23" s="137" t="inlineStr">
        <is>
          <t>Diagnostics</t>
        </is>
      </c>
      <c r="C23" s="137" t="inlineStr">
        <is>
          <t>Quality gate diagnostics persist on failure path</t>
        </is>
      </c>
      <c r="D23" s="137" t="inlineStr">
        <is>
          <t>Y</t>
        </is>
      </c>
      <c r="E23" s="137" t="inlineStr">
        <is>
          <t>STRUCTURAL ENFORCED / EMPIRICAL PENDING</t>
        </is>
      </c>
      <c r="F23" s="137" t="inlineStr">
        <is>
          <t>Mike</t>
        </is>
      </c>
      <c r="G23" s="137" t="inlineStr">
        <is>
          <t>PR #245 + proof</t>
        </is>
      </c>
      <c r="H23" s="137" t="inlineStr">
        <is>
          <t>TBD</t>
        </is>
      </c>
      <c r="I23" s="137" t="inlineStr">
        <is>
          <t>YES</t>
        </is>
      </c>
      <c r="J23" s="137" t="inlineStr">
        <is>
          <t>Need fresh non-null diagnostics sample</t>
        </is>
      </c>
      <c r="K23" s="138" t="inlineStr">
        <is>
          <t>DB query for pipeline_failure_diagnostics</t>
        </is>
      </c>
    </row>
    <row r="24" ht="54" customHeight="1" s="213">
      <c r="A24" s="136" t="inlineStr">
        <is>
          <t>CERT</t>
        </is>
      </c>
      <c r="B24" s="137" t="inlineStr">
        <is>
          <t>System</t>
        </is>
      </c>
      <c r="C24" s="137" t="inlineStr">
        <is>
          <t>Invalid escape rate = 0</t>
        </is>
      </c>
      <c r="D24" s="137" t="inlineStr">
        <is>
          <t>Y</t>
        </is>
      </c>
      <c r="E24" s="137" t="inlineStr">
        <is>
          <t>PENDING</t>
        </is>
      </c>
      <c r="F24" s="137" t="inlineStr">
        <is>
          <t>Mike</t>
        </is>
      </c>
      <c r="G24" s="137" t="inlineStr">
        <is>
          <t>Certification proof run</t>
        </is>
      </c>
      <c r="H24" s="137" t="inlineStr">
        <is>
          <t>TBD</t>
        </is>
      </c>
      <c r="I24" s="137" t="inlineStr">
        <is>
          <t>YES</t>
        </is>
      </c>
      <c r="J24" s="137" t="inlineStr">
        <is>
          <t>U2/U3/golden proof not complete</t>
        </is>
      </c>
      <c r="K24" s="138" t="inlineStr">
        <is>
          <t>Fixed scenarios</t>
        </is>
      </c>
    </row>
    <row r="25" ht="54" customHeight="1" s="213">
      <c r="A25" s="139" t="inlineStr">
        <is>
          <t>CERT</t>
        </is>
      </c>
      <c r="B25" s="140" t="inlineStr">
        <is>
          <t>System</t>
        </is>
      </c>
      <c r="C25" s="140" t="inlineStr">
        <is>
          <t>U1/U2/U3 fully enforced</t>
        </is>
      </c>
      <c r="D25" s="140" t="inlineStr">
        <is>
          <t>Y</t>
        </is>
      </c>
      <c r="E25" s="140" t="inlineStr">
        <is>
          <t>PENDING</t>
        </is>
      </c>
      <c r="F25" s="140" t="inlineStr">
        <is>
          <t>Mike</t>
        </is>
      </c>
      <c r="G25" s="140" t="inlineStr">
        <is>
          <t>Certification proof run</t>
        </is>
      </c>
      <c r="H25" s="140" t="inlineStr">
        <is>
          <t>TBD</t>
        </is>
      </c>
      <c r="I25" s="140" t="inlineStr">
        <is>
          <t>YES</t>
        </is>
      </c>
      <c r="J25" s="140" t="inlineStr">
        <is>
          <t>U2/U3 pending</t>
        </is>
      </c>
      <c r="K25" s="141" t="inlineStr">
        <is>
          <t>All gate proofs</t>
        </is>
      </c>
    </row>
    <row r="26" ht="52.04999923706055" customHeight="1" s="213">
      <c r="A26" s="210" t="inlineStr">
        <is>
          <t>U2/U3</t>
        </is>
      </c>
      <c r="B26" s="210" t="inlineStr">
        <is>
          <t>Acceptance</t>
        </is>
      </c>
      <c r="C26" s="210" t="inlineStr">
        <is>
          <t>Generic advice without anchors fails</t>
        </is>
      </c>
      <c r="D26" s="210" t="inlineStr">
        <is>
          <t>Y</t>
        </is>
      </c>
      <c r="E26" s="210" t="inlineStr">
        <is>
          <t>PENDING</t>
        </is>
      </c>
      <c r="F26" s="210" t="inlineStr">
        <is>
          <t>Mike</t>
        </is>
      </c>
      <c r="G26" s="210" t="inlineStr">
        <is>
          <t>Quality acceptance PR after trace</t>
        </is>
      </c>
      <c r="H26" s="210" t="inlineStr">
        <is>
          <t>TBD</t>
        </is>
      </c>
      <c r="I26" s="210" t="inlineStr">
        <is>
          <t>YES</t>
        </is>
      </c>
      <c r="J26" s="210" t="inlineStr">
        <is>
          <t>Needed for RCA-EVAL-QUALITY-001</t>
        </is>
      </c>
      <c r="K26" s="126" t="n"/>
    </row>
    <row r="27" ht="52.04999923706055" customHeight="1" s="213">
      <c r="A27" s="210" t="inlineStr">
        <is>
          <t>U2/U3</t>
        </is>
      </c>
      <c r="B27" s="210" t="inlineStr">
        <is>
          <t>Acceptance</t>
        </is>
      </c>
      <c r="C27" s="210" t="inlineStr">
        <is>
          <t>Low confidence + strong prescriptions fail or downgrade</t>
        </is>
      </c>
      <c r="D27" s="210" t="inlineStr">
        <is>
          <t>Y</t>
        </is>
      </c>
      <c r="E27" s="210" t="inlineStr">
        <is>
          <t>PENDING</t>
        </is>
      </c>
      <c r="F27" s="210" t="inlineStr">
        <is>
          <t>Mike</t>
        </is>
      </c>
      <c r="G27" s="210" t="inlineStr">
        <is>
          <t>Quality authority PR after U2 proof</t>
        </is>
      </c>
      <c r="H27" s="210" t="inlineStr">
        <is>
          <t>TBD</t>
        </is>
      </c>
      <c r="I27" s="210" t="inlineStr">
        <is>
          <t>YES</t>
        </is>
      </c>
      <c r="J27" s="210" t="inlineStr">
        <is>
          <t>Needed for RCA-EVAL-QUALITY-002 / RCA-U2-001</t>
        </is>
      </c>
      <c r="K27" s="126" t="n"/>
    </row>
    <row r="28">
      <c r="A28" s="210" t="inlineStr">
        <is>
          <t>U2/U3</t>
        </is>
      </c>
      <c r="B28" s="210" t="inlineStr">
        <is>
          <t>Synthesis</t>
        </is>
      </c>
      <c r="C28" s="210" t="inlineStr">
        <is>
          <t>Compressed synthesis cannot produce tactical rewrite advice without evidence</t>
        </is>
      </c>
      <c r="D28" s="210" t="inlineStr">
        <is>
          <t>Y</t>
        </is>
      </c>
      <c r="E28" s="210" t="inlineStr">
        <is>
          <t>PENDING</t>
        </is>
      </c>
      <c r="F28" s="210" t="inlineStr">
        <is>
          <t>Mike</t>
        </is>
      </c>
      <c r="G28" s="210" t="inlineStr">
        <is>
          <t>Pass3 contract PR</t>
        </is>
      </c>
      <c r="H28" s="210" t="inlineStr">
        <is>
          <t>TBD</t>
        </is>
      </c>
      <c r="I28" s="210" t="inlineStr">
        <is>
          <t>YES</t>
        </is>
      </c>
      <c r="J28" s="210" t="inlineStr">
        <is>
          <t>Needed for RCA-EVAL-QUALITY-003 / RCA-U2-002</t>
        </is>
      </c>
      <c r="K28" s="126" t="n"/>
    </row>
    <row r="29">
      <c r="A29" s="210" t="inlineStr">
        <is>
          <t>U3</t>
        </is>
      </c>
      <c r="B29" s="210" t="inlineStr">
        <is>
          <t>Output Boundary</t>
        </is>
      </c>
      <c r="C29" s="210" t="inlineStr">
        <is>
          <t>Internal ontology/system terms cannot reach user report</t>
        </is>
      </c>
      <c r="D29" s="210" t="inlineStr">
        <is>
          <t>Y</t>
        </is>
      </c>
      <c r="E29" s="210" t="inlineStr">
        <is>
          <t>PENDING</t>
        </is>
      </c>
      <c r="F29" s="210" t="inlineStr">
        <is>
          <t>Mike</t>
        </is>
      </c>
      <c r="G29" s="210" t="inlineStr">
        <is>
          <t>Output sanitizer/finalizer PR</t>
        </is>
      </c>
      <c r="H29" s="210" t="inlineStr">
        <is>
          <t>TBD</t>
        </is>
      </c>
      <c r="I29" s="210" t="inlineStr">
        <is>
          <t>YES</t>
        </is>
      </c>
      <c r="J29" s="210" t="inlineStr">
        <is>
          <t>Needed for RCA-EVAL-QUALITY-004</t>
        </is>
      </c>
      <c r="K29" s="126" t="n"/>
    </row>
    <row r="30">
      <c r="A30" s="210" t="inlineStr">
        <is>
          <t>U2</t>
        </is>
      </c>
      <c r="B30" s="210" t="inlineStr">
        <is>
          <t>Traceability</t>
        </is>
      </c>
      <c r="C30" s="210" t="inlineStr">
        <is>
          <t>Recommendation must show evidence → mechanism → action chain</t>
        </is>
      </c>
      <c r="D30" s="210" t="inlineStr">
        <is>
          <t>Y</t>
        </is>
      </c>
      <c r="E30" s="210" t="inlineStr">
        <is>
          <t>PENDING</t>
        </is>
      </c>
      <c r="F30" s="210" t="inlineStr">
        <is>
          <t>Mike</t>
        </is>
      </c>
      <c r="G30" s="210" t="inlineStr">
        <is>
          <t>QualityGate / Pass2 / Pass3 PR</t>
        </is>
      </c>
      <c r="H30" s="210" t="inlineStr">
        <is>
          <t>TBD</t>
        </is>
      </c>
      <c r="I30" s="210" t="inlineStr">
        <is>
          <t>YES</t>
        </is>
      </c>
      <c r="J30" s="210" t="inlineStr">
        <is>
          <t>Needed for RCA-EVAL-QUALITY-005</t>
        </is>
      </c>
      <c r="K30" s="126" t="n"/>
    </row>
    <row r="31">
      <c r="A31" s="210" t="inlineStr">
        <is>
          <t>Acceptance Policy</t>
        </is>
      </c>
      <c r="B31" s="210" t="inlineStr">
        <is>
          <t>Publish State</t>
        </is>
      </c>
      <c r="C31" s="210" t="inlineStr">
        <is>
          <t>Valid / Advisory / Invalid publication states</t>
        </is>
      </c>
      <c r="D31" s="210" t="inlineStr">
        <is>
          <t>Y</t>
        </is>
      </c>
      <c r="E31" s="210" t="inlineStr">
        <is>
          <t>SPECIFIED / PENDING ENFORCEMENT</t>
        </is>
      </c>
      <c r="F31" s="210" t="inlineStr">
        <is>
          <t>Mike</t>
        </is>
      </c>
      <c r="G31" s="210" t="inlineStr">
        <is>
          <t>Acceptance-state contract</t>
        </is>
      </c>
      <c r="H31" s="210" t="inlineStr">
        <is>
          <t>TBD</t>
        </is>
      </c>
      <c r="I31" s="210" t="inlineStr">
        <is>
          <t>YES</t>
        </is>
      </c>
      <c r="J31" s="210" t="inlineStr">
        <is>
          <t>Valid = evidence-bound; Advisory = limited/no tactics; Invalid = generic/leakage/traceability failure</t>
        </is>
      </c>
      <c r="K31" s="126" t="n"/>
    </row>
  </sheetData>
  <mergeCells count="1">
    <mergeCell ref="A1:H1"/>
  </mergeCells>
  <conditionalFormatting sqref="E3:E25">
    <cfRule type="containsText" priority="10" operator="containsText" dxfId="6" text="ENFORCED"/>
    <cfRule type="containsText" priority="11" operator="containsText" dxfId="5" text="STRUCTURAL"/>
    <cfRule type="containsText" priority="12" operator="containsText" dxfId="2" text="EMPIRICAL PENDING"/>
    <cfRule type="containsText" priority="13" operator="containsText" dxfId="3" text="OPEN"/>
    <cfRule type="containsText" priority="14" operator="containsText" dxfId="2" text="PENDING"/>
    <cfRule type="containsText" priority="15" operator="containsText" dxfId="1" text="NONE"/>
    <cfRule type="containsText" priority="16" operator="containsText" dxfId="0" text="OBSERVED"/>
  </conditionalFormatting>
  <conditionalFormatting sqref="I3:I25">
    <cfRule type="cellIs" priority="8" operator="equal" dxfId="15">
      <formula>"YES"</formula>
    </cfRule>
    <cfRule type="cellIs" priority="9" operator="equal" dxfId="6">
      <formula>"NO"</formula>
    </cfRule>
  </conditionalFormatting>
  <dataValidations count="3">
    <dataValidation sqref="E3:E25" showDropDown="0" showInputMessage="0" showErrorMessage="0" allowBlank="0" type="list">
      <formula1>"NONE,OBSERVED,ENFORCED"</formula1>
      <formula2>0</formula2>
    </dataValidation>
    <dataValidation sqref="D3:D25" showDropDown="0" showInputMessage="0" showErrorMessage="0" allowBlank="0" type="list">
      <formula1>"Y,N"</formula1>
      <formula2>0</formula2>
    </dataValidation>
    <dataValidation sqref="I3:I25" showDropDown="0" showInputMessage="0" showErrorMessage="0" allowBlank="0" type="list">
      <formula1>"YES,NO"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</cols>
  <sheetData>
    <row r="1" ht="17.08984375" customHeight="1" s="213">
      <c r="A1" s="263" t="inlineStr">
        <is>
          <t>Current Execution Block: U2 Fidelity Enforcement = Close Six RCAs</t>
        </is>
      </c>
      <c r="B1" s="264" t="n"/>
      <c r="C1" s="264" t="n"/>
      <c r="D1" s="264" t="n"/>
      <c r="E1" s="264" t="n"/>
      <c r="F1" s="264" t="n"/>
      <c r="G1" s="264" t="n"/>
      <c r="H1" s="265" t="n"/>
      <c r="I1" s="276" t="n"/>
      <c r="J1" s="276" t="n"/>
      <c r="K1" s="277" t="n"/>
    </row>
    <row r="2" ht="14.39999961853027" customHeight="1" s="213">
      <c r="A2" s="287" t="inlineStr">
        <is>
          <t>Seq</t>
        </is>
      </c>
      <c r="B2" s="288" t="inlineStr">
        <is>
          <t>Active Now?</t>
        </is>
      </c>
      <c r="C2" s="288" t="inlineStr">
        <is>
          <t>RCA_ID</t>
        </is>
      </c>
      <c r="D2" s="288" t="inlineStr">
        <is>
          <t>Work Item</t>
        </is>
      </c>
      <c r="E2" s="288" t="inlineStr">
        <is>
          <t>Layer</t>
        </is>
      </c>
      <c r="F2" s="288" t="inlineStr">
        <is>
          <t>Current Level</t>
        </is>
      </c>
      <c r="G2" s="288" t="inlineStr">
        <is>
          <t>Target Level</t>
        </is>
      </c>
      <c r="H2" s="288" t="inlineStr">
        <is>
          <t>Blocking Gap</t>
        </is>
      </c>
      <c r="I2" s="288" t="inlineStr">
        <is>
          <t>Done Criteria</t>
        </is>
      </c>
      <c r="J2" s="288" t="inlineStr">
        <is>
          <t>Status</t>
        </is>
      </c>
      <c r="K2" s="289" t="inlineStr">
        <is>
          <t>DEPENDS_ON_RCA</t>
        </is>
      </c>
    </row>
    <row r="3" ht="14.39999961853027" customHeight="1" s="213">
      <c r="A3" s="133" t="n">
        <v>1</v>
      </c>
      <c r="B3" s="134" t="inlineStr">
        <is>
          <t>YES</t>
        </is>
      </c>
      <c r="C3" s="134" t="inlineStr">
        <is>
          <t>RCA-U2-003</t>
        </is>
      </c>
      <c r="D3" s="134" t="inlineStr">
        <is>
          <t>Confidence derivation</t>
        </is>
      </c>
      <c r="E3" s="134" t="inlineStr">
        <is>
          <t>Pipeline / Confidence</t>
        </is>
      </c>
      <c r="F3" s="134" t="inlineStr">
        <is>
          <t>PARTIAL — REMOTE/TEST PROOF</t>
        </is>
      </c>
      <c r="G3" s="134" t="inlineStr">
        <is>
          <t>ENFORCED</t>
        </is>
      </c>
      <c r="H3" s="134" t="inlineStr">
        <is>
          <t>Implementation is pushed in commit 8ecdde70, but live server/API artifact proof is missing.</t>
        </is>
      </c>
      <c r="I3" s="134" t="inlineStr">
        <is>
          <t>governance.confidence_label and reasons derived from evidence profile in committed branch plus live server/API artifact proof.</t>
        </is>
      </c>
      <c r="J3" s="134" t="inlineStr">
        <is>
          <t>PARTIAL — LIVE_PROOF_PENDING</t>
        </is>
      </c>
      <c r="K3" s="135" t="inlineStr">
        <is>
          <t>NONE</t>
        </is>
      </c>
    </row>
    <row r="4" ht="14.39999961853027" customHeight="1" s="213">
      <c r="A4" s="136" t="n">
        <v>2</v>
      </c>
      <c r="B4" s="137" t="inlineStr">
        <is>
          <t>YES</t>
        </is>
      </c>
      <c r="C4" s="137" t="inlineStr">
        <is>
          <t>RCA-U2-004</t>
        </is>
      </c>
      <c r="D4" s="137" t="inlineStr">
        <is>
          <t>Propagation layer</t>
        </is>
      </c>
      <c r="E4" s="137" t="inlineStr">
        <is>
          <t>Pipeline / Gate</t>
        </is>
      </c>
      <c r="F4" s="137" t="inlineStr">
        <is>
          <t>NOT_STARTED</t>
        </is>
      </c>
      <c r="G4" s="137" t="inlineStr">
        <is>
          <t>ENFORCED</t>
        </is>
      </c>
      <c r="H4" s="137" t="inlineStr">
        <is>
          <t>Weak criteria do not affect overall artifact authority</t>
        </is>
      </c>
      <c r="I4" s="137" t="inlineStr">
        <is>
          <t>Propagation profile + upstreamIntegrity strong|mixed|weak computed and gate-consumable</t>
        </is>
      </c>
      <c r="J4" s="137" t="inlineStr">
        <is>
          <t>NEXT</t>
        </is>
      </c>
      <c r="K4" s="138" t="inlineStr">
        <is>
          <t>RCA-U2-003</t>
        </is>
      </c>
    </row>
    <row r="5" ht="14.39999961853027" customHeight="1" s="213">
      <c r="A5" s="136" t="n">
        <v>3</v>
      </c>
      <c r="B5" s="137" t="inlineStr">
        <is>
          <t>YES</t>
        </is>
      </c>
      <c r="C5" s="137" t="inlineStr">
        <is>
          <t>RCA-U2-001</t>
        </is>
      </c>
      <c r="D5" s="137" t="inlineStr">
        <is>
          <t>Score-confidence enforcement</t>
        </is>
      </c>
      <c r="E5" s="137" t="inlineStr">
        <is>
          <t>Quality Gate</t>
        </is>
      </c>
      <c r="F5" s="137" t="inlineStr">
        <is>
          <t>NOT_STARTED</t>
        </is>
      </c>
      <c r="G5" s="137" t="inlineStr">
        <is>
          <t>ENFORCED</t>
        </is>
      </c>
      <c r="H5" s="137" t="inlineStr">
        <is>
          <t>Score can overclaim when confidence is low</t>
        </is>
      </c>
      <c r="I5" s="137" t="inlineStr">
        <is>
          <t>QG_FIDELITY_SCORE_CONFIDENCE_MISMATCH tested and enforced</t>
        </is>
      </c>
      <c r="J5" s="137" t="inlineStr">
        <is>
          <t>NEXT</t>
        </is>
      </c>
      <c r="K5" s="138" t="inlineStr">
        <is>
          <t>RCA-U2-003</t>
        </is>
      </c>
    </row>
    <row r="6" ht="14.39999961853027" customHeight="1" s="213">
      <c r="A6" s="136" t="n">
        <v>4</v>
      </c>
      <c r="B6" s="137" t="inlineStr">
        <is>
          <t>YES</t>
        </is>
      </c>
      <c r="C6" s="137" t="inlineStr">
        <is>
          <t>RCA-U2-006</t>
        </is>
      </c>
      <c r="D6" s="137" t="inlineStr">
        <is>
          <t>Evidence anchor enforcement</t>
        </is>
      </c>
      <c r="E6" s="137" t="inlineStr">
        <is>
          <t>Pass2 / Quality Gate</t>
        </is>
      </c>
      <c r="F6" s="137" t="inlineStr">
        <is>
          <t>PARTIAL — REMOTE/TEST PROOF</t>
        </is>
      </c>
      <c r="G6" s="137" t="inlineStr">
        <is>
          <t>ENFORCED</t>
        </is>
      </c>
      <c r="H6" s="137" t="inlineStr">
        <is>
          <t>Anchor enforcement is pushed in commit 8ecdde70, but live proof is not yet complete.</t>
        </is>
      </c>
      <c r="I6" s="137" t="inlineStr">
        <is>
          <t>NO_TEXTUAL_ANCHOR/anchor enforcement committed, tested, and proven on real server/API path.</t>
        </is>
      </c>
      <c r="J6" s="137" t="inlineStr">
        <is>
          <t>PARTIAL — LIVE_PROOF_PENDING</t>
        </is>
      </c>
      <c r="K6" s="138" t="inlineStr">
        <is>
          <t>NONE</t>
        </is>
      </c>
    </row>
    <row r="7" ht="14.39999961853027" customHeight="1" s="213">
      <c r="A7" s="136" t="n">
        <v>5</v>
      </c>
      <c r="B7" s="137" t="inlineStr">
        <is>
          <t>YES</t>
        </is>
      </c>
      <c r="C7" s="137" t="inlineStr">
        <is>
          <t>RCA-U2-002</t>
        </is>
      </c>
      <c r="D7" s="137" t="inlineStr">
        <is>
          <t>Pass3 anti-washing</t>
        </is>
      </c>
      <c r="E7" s="137" t="inlineStr">
        <is>
          <t>Synthesis</t>
        </is>
      </c>
      <c r="F7" s="137" t="inlineStr">
        <is>
          <t>NOT_STARTED</t>
        </is>
      </c>
      <c r="G7" s="137" t="inlineStr">
        <is>
          <t>ENFORCED</t>
        </is>
      </c>
      <c r="H7" s="137" t="inlineStr">
        <is>
          <t>Summary can omit bottom-scoring weakness</t>
        </is>
      </c>
      <c r="I7" s="137" t="inlineStr">
        <is>
          <t>Summary references weakest cluster or QG_SUMMARY_OMITS_WEAKNESS fires</t>
        </is>
      </c>
      <c r="J7" s="137" t="inlineStr">
        <is>
          <t>NEXT</t>
        </is>
      </c>
      <c r="K7" s="138" t="inlineStr">
        <is>
          <t>RCA-U2-006</t>
        </is>
      </c>
    </row>
    <row r="8" ht="14.39999961853027" customHeight="1" s="213">
      <c r="A8" s="136" t="n">
        <v>6</v>
      </c>
      <c r="B8" s="137" t="inlineStr">
        <is>
          <t>YES</t>
        </is>
      </c>
      <c r="C8" s="137" t="inlineStr">
        <is>
          <t>RCA-U2-005</t>
        </is>
      </c>
      <c r="D8" s="137" t="inlineStr">
        <is>
          <t>UI authority lock</t>
        </is>
      </c>
      <c r="E8" s="137" t="inlineStr">
        <is>
          <t>UI Truth</t>
        </is>
      </c>
      <c r="F8" s="137" t="inlineStr">
        <is>
          <t>NOT_STARTED</t>
        </is>
      </c>
      <c r="G8" s="137" t="inlineStr">
        <is>
          <t>ENFORCED</t>
        </is>
      </c>
      <c r="H8" s="137" t="inlineStr">
        <is>
          <t>High-confidence UI can overstate weak artifact</t>
        </is>
      </c>
      <c r="I8" s="137" t="inlineStr">
        <is>
          <t>PASS + low/weak/mixed confidence cannot render high-confidence banner</t>
        </is>
      </c>
      <c r="J8" s="137" t="inlineStr">
        <is>
          <t>NEXT</t>
        </is>
      </c>
      <c r="K8" s="138" t="inlineStr">
        <is>
          <t>RCA-U2-004</t>
        </is>
      </c>
    </row>
    <row r="9" ht="14.39999961853027" customHeight="1" s="213">
      <c r="A9" s="136" t="n">
        <v>7</v>
      </c>
      <c r="B9" s="137" t="inlineStr">
        <is>
          <t>YES</t>
        </is>
      </c>
      <c r="C9" s="137" t="inlineStr">
        <is>
          <t>PV115-GOLDEN-FIXTURE</t>
        </is>
      </c>
      <c r="D9" s="137" t="inlineStr">
        <is>
          <t>Golden fixture validation (verification artifact, not RCA)</t>
        </is>
      </c>
      <c r="E9" s="137" t="inlineStr">
        <is>
          <t>Proof / Verification Artifact</t>
        </is>
      </c>
      <c r="F9" s="137" t="inlineStr">
        <is>
          <t>NOT_READY</t>
        </is>
      </c>
      <c r="G9" s="137" t="inlineStr">
        <is>
          <t>ENFORCED</t>
        </is>
      </c>
      <c r="H9" s="137" t="inlineStr">
        <is>
          <t>PV115 can still miss real signals until U2 RCAs close</t>
        </is>
      </c>
      <c r="I9" s="137" t="inlineStr">
        <is>
          <t>Fixture passes only after required U2 RCAs close; PROMOTION_RULE must pass before U2 is ENFORCED.</t>
        </is>
      </c>
      <c r="J9" s="137" t="inlineStr">
        <is>
          <t>NEXT</t>
        </is>
      </c>
      <c r="K9" s="138" t="inlineStr">
        <is>
          <t>RCA-U2-001; RCA-U2-002; RCA-U2-004; RCA-U2-005; RCA-U2-006</t>
        </is>
      </c>
    </row>
    <row r="10" ht="14.39999961853027" customHeight="1" s="213">
      <c r="A10" s="136" t="n">
        <v>8</v>
      </c>
      <c r="B10" s="137" t="inlineStr">
        <is>
          <t>PARALLEL</t>
        </is>
      </c>
      <c r="C10" s="137" t="inlineStr">
        <is>
          <t>RCA-PASS1-TOKEN-001</t>
        </is>
      </c>
      <c r="D10" s="137" t="inlineStr">
        <is>
          <t>PASS1_OUTPUT_FEASIBILITY minimal patch</t>
        </is>
      </c>
      <c r="E10" s="137" t="inlineStr">
        <is>
          <t>Pipeline Feasibility</t>
        </is>
      </c>
      <c r="F10" s="137" t="inlineStr">
        <is>
          <t>OPEN</t>
        </is>
      </c>
      <c r="G10" s="137" t="inlineStr">
        <is>
          <t>OBSERVED</t>
        </is>
      </c>
      <c r="H10" s="137" t="inlineStr">
        <is>
          <t>PASS1 finish_reason=length can block proof reachability</t>
        </is>
      </c>
      <c r="I10" s="137" t="inlineStr">
        <is>
          <t>Only minimal output-surface reduction; no latency side quest</t>
        </is>
      </c>
      <c r="J10" s="137" t="inlineStr">
        <is>
          <t>OPEN</t>
        </is>
      </c>
      <c r="K10" s="138" t="inlineStr">
        <is>
          <t>NONE</t>
        </is>
      </c>
    </row>
    <row r="11" ht="14.39999961853027" customHeight="1" s="213">
      <c r="A11" s="136" t="n">
        <v>9</v>
      </c>
      <c r="B11" s="137" t="inlineStr">
        <is>
          <t>PARALLEL</t>
        </is>
      </c>
      <c r="C11" s="137" t="inlineStr">
        <is>
          <t>RCA-LLR-004-001</t>
        </is>
      </c>
      <c r="D11" s="137" t="inlineStr">
        <is>
          <t>LLR_POST_STRUCTURAL_BLOCK triage</t>
        </is>
      </c>
      <c r="E11" s="137" t="inlineStr">
        <is>
          <t>Governance / LLR</t>
        </is>
      </c>
      <c r="F11" s="137" t="inlineStr">
        <is>
          <t>AMBIGUOUS</t>
        </is>
      </c>
      <c r="G11" s="137" t="inlineStr">
        <is>
          <t>RESOLVED</t>
        </is>
      </c>
      <c r="H11" s="137" t="inlineStr">
        <is>
          <t>LLR-004 can block before U2 evidence is observable</t>
        </is>
      </c>
      <c r="I11" s="137" t="inlineStr">
        <is>
          <t>Classify MODEL_OUTPUT_INVALID vs RULE_TOO_STRICT vs REGISTRY_DRIFT; AMBIGUOUS → RESOLVED.</t>
        </is>
      </c>
      <c r="J11" s="137" t="inlineStr">
        <is>
          <t>AMBIGUOUS</t>
        </is>
      </c>
      <c r="K11" s="138" t="inlineStr">
        <is>
          <t>NONE</t>
        </is>
      </c>
    </row>
    <row r="12" ht="14.39999961853027" customHeight="1" s="213">
      <c r="A12" s="136" t="n">
        <v>10</v>
      </c>
      <c r="B12" s="137" t="inlineStr">
        <is>
          <t>NO</t>
        </is>
      </c>
      <c r="C12" s="137" t="inlineStr">
        <is>
          <t>POST-U2-PROMPT-DEPTH</t>
        </is>
      </c>
      <c r="D12" s="137" t="inlineStr">
        <is>
          <t>Prompt reasoning depth upgrades</t>
        </is>
      </c>
      <c r="E12" s="137" t="inlineStr">
        <is>
          <t>Prompt Quality</t>
        </is>
      </c>
      <c r="F12" s="137" t="inlineStr">
        <is>
          <t>SPECIFIED</t>
        </is>
      </c>
      <c r="G12" s="137" t="inlineStr">
        <is>
          <t>OBSERVED</t>
        </is>
      </c>
      <c r="H12" s="137" t="inlineStr">
        <is>
          <t>Prompts miss meta-fiction/parallel/animal/env/withholding/cultural texture</t>
        </is>
      </c>
      <c r="I12" s="137" t="inlineStr">
        <is>
          <t>Update prompts only after U2 truth-control closes</t>
        </is>
      </c>
      <c r="J12" s="137" t="inlineStr">
        <is>
          <t>WAIT</t>
        </is>
      </c>
      <c r="K12" s="138" t="inlineStr">
        <is>
          <t>U2 RCAs</t>
        </is>
      </c>
    </row>
    <row r="13" ht="14.39999961853027" customHeight="1" s="213">
      <c r="A13" s="136" t="n"/>
      <c r="B13" s="137" t="n"/>
      <c r="C13" s="137" t="n"/>
      <c r="D13" s="137" t="n"/>
      <c r="E13" s="137" t="n"/>
      <c r="F13" s="137" t="n"/>
      <c r="G13" s="137" t="n"/>
      <c r="H13" s="137" t="n"/>
      <c r="I13" s="137" t="n"/>
      <c r="J13" s="137" t="n"/>
      <c r="K13" s="138" t="n"/>
    </row>
    <row r="14" ht="14.39999961853027" customHeight="1" s="213">
      <c r="A14" s="139" t="n"/>
      <c r="B14" s="140" t="n"/>
      <c r="C14" s="140" t="n"/>
      <c r="D14" s="140" t="n"/>
      <c r="E14" s="140" t="n"/>
      <c r="F14" s="140" t="n"/>
      <c r="G14" s="140" t="n"/>
      <c r="H14" s="140" t="n"/>
      <c r="I14" s="140" t="n"/>
      <c r="J14" s="140" t="n"/>
      <c r="K14" s="141" t="n"/>
    </row>
    <row r="15" ht="14.39999961853027" customHeight="1" s="213">
      <c r="A15" s="126" t="n">
        <v>13</v>
      </c>
      <c r="B15" s="126" t="inlineStr">
        <is>
          <t>REFERENCE</t>
        </is>
      </c>
      <c r="C15" s="126" t="inlineStr">
        <is>
          <t>PV115-GOLDEN-FIXTURE</t>
        </is>
      </c>
      <c r="D15" s="126" t="inlineStr">
        <is>
          <t>Verification artifact tracking</t>
        </is>
      </c>
      <c r="E15" s="126" t="inlineStr">
        <is>
          <t>Proof</t>
        </is>
      </c>
      <c r="F15" s="126" t="inlineStr">
        <is>
          <t>NOT_READY</t>
        </is>
      </c>
      <c r="G15" s="126" t="inlineStr">
        <is>
          <t>READY</t>
        </is>
      </c>
      <c r="H15" s="126" t="inlineStr">
        <is>
          <t>PV115 was previously pseudo-RCA</t>
        </is>
      </c>
      <c r="I15" s="126" t="inlineStr">
        <is>
          <t>Tracked in VERIFICATION_ARTIFACTS; remains non-RCA proof item</t>
        </is>
      </c>
      <c r="J15" s="126" t="inlineStr">
        <is>
          <t>NOT_READY</t>
        </is>
      </c>
      <c r="K15" s="126" t="inlineStr">
        <is>
          <t>U2 RCAs</t>
        </is>
      </c>
    </row>
    <row r="16" ht="52.04999923706055" customHeight="1" s="213">
      <c r="A16" s="126" t="inlineStr">
        <is>
          <t>Order</t>
        </is>
      </c>
      <c r="B16" s="126" t="inlineStr">
        <is>
          <t>Status</t>
        </is>
      </c>
      <c r="C16" s="126" t="inlineStr">
        <is>
          <t>Work Item</t>
        </is>
      </c>
      <c r="D16" s="126" t="inlineStr">
        <is>
          <t>Why It Matters</t>
        </is>
      </c>
      <c r="E16" s="126" t="inlineStr">
        <is>
          <t>Next Action</t>
        </is>
      </c>
      <c r="F16" s="126" t="inlineStr">
        <is>
          <t>Blocking Rule</t>
        </is>
      </c>
      <c r="G16" s="126" t="n"/>
      <c r="H16" s="126" t="n"/>
      <c r="I16" s="126" t="n"/>
      <c r="J16" s="126" t="n"/>
      <c r="K16" s="126" t="n"/>
    </row>
    <row r="17" ht="52.04999923706055" customHeight="1" s="213">
      <c r="A17" s="126" t="n">
        <v>1</v>
      </c>
      <c r="B17" s="126" t="inlineStr">
        <is>
          <t>READY_FOR_PR</t>
        </is>
      </c>
      <c r="C17" s="126" t="inlineStr">
        <is>
          <t>Strict ProcessEnv test typing fix</t>
        </is>
      </c>
      <c r="D17" s="126" t="inlineStr">
        <is>
          <t>Phase 2C/type checks should fail only on real runtime issues, not invalid fixtures.</t>
        </is>
      </c>
      <c r="E17" s="126" t="inlineStr">
        <is>
          <t>Add asProcessEnv helper for intentional invalid NODE_ENV cases; add NODE_ENV:'test' to productionConfigValidation fixtures.</t>
        </is>
      </c>
      <c r="F17" s="126" t="inlineStr">
        <is>
          <t>Test-only change; do not loosen ProcessEnv or runtime validation.</t>
        </is>
      </c>
      <c r="G17" s="126" t="n"/>
      <c r="H17" s="126" t="n"/>
      <c r="I17" s="126" t="n"/>
      <c r="J17" s="126" t="n"/>
      <c r="K17" s="126" t="n"/>
    </row>
    <row r="18">
      <c r="A18" s="126" t="n">
        <v>2</v>
      </c>
      <c r="B18" s="126" t="inlineStr">
        <is>
          <t>PENDING</t>
        </is>
      </c>
      <c r="C18" s="126" t="inlineStr">
        <is>
          <t>Run correct U2 live proof path</t>
        </is>
      </c>
      <c r="D18" s="126" t="inlineStr">
        <is>
          <t>RCA-U2-003 and RCA-U2-006 cannot become RESOLVED on local/branch proof alone.</t>
        </is>
      </c>
      <c r="E18" s="126" t="inlineStr">
        <is>
          <t>Capture persisted artifact/live API proof for confidence_label, confidence_reasons, anchor reason codes, progress.gate_enforcement.</t>
        </is>
      </c>
      <c r="F18" s="126" t="inlineStr">
        <is>
          <t>No U2 completion without live artifact/progress proof.</t>
        </is>
      </c>
      <c r="G18" s="126" t="n"/>
      <c r="H18" s="126" t="n"/>
      <c r="I18" s="126" t="n"/>
      <c r="J18" s="126" t="n"/>
      <c r="K18" s="126" t="n"/>
    </row>
    <row r="19">
      <c r="A19" s="126" t="n">
        <v>3</v>
      </c>
      <c r="B19" s="126" t="inlineStr">
        <is>
          <t>PENDING</t>
        </is>
      </c>
      <c r="C19" s="126" t="inlineStr">
        <is>
          <t>LLR-004 classification</t>
        </is>
      </c>
      <c r="D19" s="126" t="inlineStr">
        <is>
          <t>LLR can block before U2/Pass 4; repeated reruns without classification waste time.</t>
        </is>
      </c>
      <c r="E19" s="126" t="inlineStr">
        <is>
          <t>Classify as invalid model output, calibration issue, or registry/canon mapping drift.</t>
        </is>
      </c>
      <c r="F19" s="126" t="inlineStr">
        <is>
          <t>Do not downgrade LLR-004 until cause is proven.</t>
        </is>
      </c>
      <c r="G19" s="126" t="n"/>
      <c r="H19" s="126" t="n"/>
      <c r="I19" s="126" t="n"/>
      <c r="J19" s="126" t="n"/>
      <c r="K19" s="126" t="n"/>
    </row>
    <row r="20">
      <c r="A20" s="126" t="n">
        <v>4</v>
      </c>
      <c r="B20" s="126" t="inlineStr">
        <is>
          <t>PENDING</t>
        </is>
      </c>
      <c r="C20" s="126" t="inlineStr">
        <is>
          <t>RCA-EVAL-QUALITY-001 gates</t>
        </is>
      </c>
      <c r="D20" s="126" t="inlineStr">
        <is>
          <t>Pipeline can complete, but artifacts remain semantically permissive.</t>
        </is>
      </c>
      <c r="E20" s="126" t="inlineStr">
        <is>
          <t>Install generic recommendation, evidence binding, confidence authority, Pass 3 no-new-claims, and sanitizer gates.</t>
        </is>
      </c>
      <c r="F20" s="126" t="inlineStr">
        <is>
          <t>Quality = enforcement, not prompt tuning.</t>
        </is>
      </c>
      <c r="G20" s="126" t="n"/>
      <c r="H20" s="126" t="n"/>
      <c r="I20" s="126" t="n"/>
      <c r="J20" s="126" t="n"/>
      <c r="K20" s="126" t="n"/>
    </row>
    <row r="21">
      <c r="A21" s="126" t="n">
        <v>5</v>
      </c>
      <c r="B21" s="126" t="inlineStr">
        <is>
          <t>BLOCKED</t>
        </is>
      </c>
      <c r="C21" s="126" t="inlineStr">
        <is>
          <t>U3 unlock</t>
        </is>
      </c>
      <c r="D21" s="126" t="inlineStr">
        <is>
          <t>U3 authority/coherence depends on U2 truth/fidelity proof.</t>
        </is>
      </c>
      <c r="E21" s="126" t="inlineStr">
        <is>
          <t>Define RCA-U3 IDs after U2 closure evidence is captured.</t>
        </is>
      </c>
      <c r="F21" s="126" t="inlineStr">
        <is>
          <t>No U3 execution before U2 enforced.</t>
        </is>
      </c>
      <c r="G21" s="126" t="n"/>
      <c r="H21" s="126" t="n"/>
      <c r="I21" s="126" t="n"/>
      <c r="J21" s="126" t="n"/>
      <c r="K21" s="126" t="n"/>
    </row>
    <row r="22">
      <c r="A22" s="210" t="n">
        <v>12</v>
      </c>
      <c r="B22" s="210" t="inlineStr">
        <is>
          <t>YES</t>
        </is>
      </c>
      <c r="C22" s="210" t="inlineStr">
        <is>
          <t>JOB-3B5BC57A-TRACE</t>
        </is>
      </c>
      <c r="D22" s="210" t="inlineStr">
        <is>
          <t>Read-only trace of successful weak artifact</t>
        </is>
      </c>
      <c r="E22" s="210" t="inlineStr">
        <is>
          <t>Quality Diagnosis</t>
        </is>
      </c>
      <c r="F22" s="210" t="inlineStr">
        <is>
          <t>PENDING TRACE</t>
        </is>
      </c>
      <c r="G22" s="210" t="inlineStr">
        <is>
          <t>CLASSIFIED</t>
        </is>
      </c>
      <c r="H22" s="210" t="inlineStr">
        <is>
          <t>Need repo/job evidence to classify design gap vs wiring failure</t>
        </is>
      </c>
      <c r="I22" s="210" t="inlineStr">
        <is>
          <t>Enumerate gates, Pass4 authority, formatter/finalizer, persisted Pass2/Pass3/gate artifacts</t>
        </is>
      </c>
      <c r="J22" s="210" t="inlineStr">
        <is>
          <t>SECOND</t>
        </is>
      </c>
      <c r="K22" s="126" t="n"/>
    </row>
    <row r="23">
      <c r="A23" s="210" t="n">
        <v>13</v>
      </c>
      <c r="B23" s="210" t="inlineStr">
        <is>
          <t>YES</t>
        </is>
      </c>
      <c r="C23" s="210" t="inlineStr">
        <is>
          <t>RCA-EVAL-QUALITY-001..005</t>
        </is>
      </c>
      <c r="D23" s="210" t="inlineStr">
        <is>
          <t>Quality acceptance RCA batch</t>
        </is>
      </c>
      <c r="E23" s="210" t="inlineStr">
        <is>
          <t>Evaluation Quality</t>
        </is>
      </c>
      <c r="F23" s="210" t="inlineStr">
        <is>
          <t>PENDING</t>
        </is>
      </c>
      <c r="G23" s="210" t="inlineStr">
        <is>
          <t>ENFORCED</t>
        </is>
      </c>
      <c r="H23" s="210" t="inlineStr">
        <is>
          <t>Semantic permissiveness: generic advice/confidence mismatch/compression/leakage/traceability</t>
        </is>
      </c>
      <c r="I23" s="210" t="inlineStr">
        <is>
          <t>Implement gates after trace; do not attribute to Pass4 until proven</t>
        </is>
      </c>
      <c r="J23" s="210" t="inlineStr">
        <is>
          <t>AFTER TRACE</t>
        </is>
      </c>
      <c r="K23" s="126" t="n"/>
    </row>
    <row r="24">
      <c r="A24" s="210" t="n">
        <v>14</v>
      </c>
      <c r="B24" s="210" t="inlineStr">
        <is>
          <t>PARALLEL</t>
        </is>
      </c>
      <c r="C24" s="210" t="inlineStr">
        <is>
          <t>RCA-ENV-CONTRACT-TYPING-001</t>
        </is>
      </c>
      <c r="D24" s="210" t="inlineStr">
        <is>
          <t>Strict ProcessEnv test fixture fix</t>
        </is>
      </c>
      <c r="E24" s="210" t="inlineStr">
        <is>
          <t>CI / Tests</t>
        </is>
      </c>
      <c r="F24" s="210" t="inlineStr">
        <is>
          <t>READY_FOR_PR</t>
        </is>
      </c>
      <c r="G24" s="210" t="inlineStr">
        <is>
          <t>RESOLVED</t>
        </is>
      </c>
      <c r="H24" s="210" t="inlineStr">
        <is>
          <t>Tests fail typing before runtime validation can be exercised</t>
        </is>
      </c>
      <c r="I24" s="210" t="inlineStr">
        <is>
          <t>Test-only helper cast + NODE_ENV fixtures; no runtime code change</t>
        </is>
      </c>
      <c r="J24" s="210" t="inlineStr">
        <is>
          <t>PARALLEL MINIMAL</t>
        </is>
      </c>
      <c r="K24" s="126" t="n"/>
    </row>
  </sheetData>
  <mergeCells count="1">
    <mergeCell ref="A1:H1"/>
  </mergeCells>
  <conditionalFormatting sqref="B3:B12">
    <cfRule type="cellIs" priority="14" operator="equal" dxfId="5">
      <formula>"YES"</formula>
    </cfRule>
    <cfRule type="cellIs" priority="15" operator="equal" dxfId="49">
      <formula>"NO"</formula>
    </cfRule>
  </conditionalFormatting>
  <conditionalFormatting sqref="D3:D12">
    <cfRule type="expression" priority="2" dxfId="28">
      <formula>$D3="ENFORCED"</formula>
    </cfRule>
    <cfRule type="expression" priority="3" dxfId="27">
      <formula>$D3="OBSERVED"</formula>
    </cfRule>
    <cfRule type="expression" priority="4" dxfId="26">
      <formula>$D3="NONE"</formula>
    </cfRule>
  </conditionalFormatting>
  <conditionalFormatting sqref="E3:E12">
    <cfRule type="expression" priority="5" dxfId="28">
      <formula>$E3="ENFORCED"</formula>
    </cfRule>
    <cfRule type="expression" priority="6" dxfId="27">
      <formula>$E3="OBSERVED"</formula>
    </cfRule>
    <cfRule type="expression" priority="7" dxfId="26">
      <formula>$E3="NONE"</formula>
    </cfRule>
  </conditionalFormatting>
  <conditionalFormatting sqref="E3:E14">
    <cfRule type="containsText" priority="20" operator="containsText" dxfId="6" text="ENFORCED"/>
    <cfRule type="containsText" priority="21" operator="containsText" dxfId="5" text="STRUCTURAL"/>
    <cfRule type="containsText" priority="22" operator="containsText" dxfId="2" text="EMPIRICAL PENDING"/>
    <cfRule type="containsText" priority="23" operator="containsText" dxfId="3" text="OPEN"/>
    <cfRule type="containsText" priority="24" operator="containsText" dxfId="2" text="PENDING"/>
    <cfRule type="containsText" priority="25" operator="containsText" dxfId="1" text="NONE"/>
    <cfRule type="containsText" priority="26" operator="containsText" dxfId="0" text="OBSERVED"/>
  </conditionalFormatting>
  <conditionalFormatting sqref="E3:F12">
    <cfRule type="cellIs" priority="8" operator="equal" dxfId="6">
      <formula>"ENFORCED"</formula>
    </cfRule>
    <cfRule type="cellIs" priority="9" operator="equal" dxfId="24">
      <formula>"OBSERVED"</formula>
    </cfRule>
    <cfRule type="cellIs" priority="10" operator="equal" dxfId="15">
      <formula>"NONE"</formula>
    </cfRule>
  </conditionalFormatting>
  <conditionalFormatting sqref="K3:K14">
    <cfRule type="containsText" priority="16" operator="containsText" dxfId="6" text="Completed"/>
    <cfRule type="containsText" priority="17" operator="containsText" dxfId="2" text="Pending"/>
    <cfRule type="containsText" priority="18" operator="containsText" dxfId="5" text="Partially"/>
    <cfRule type="containsText" priority="19" operator="containsText" dxfId="3" text="Open"/>
  </conditionalFormatting>
  <dataValidations count="3">
    <dataValidation sqref="D3:F12" showDropDown="0" showInputMessage="0" showErrorMessage="0" allowBlank="0" type="list">
      <formula1>"NONE,OBSERVED,ENFORCED"</formula1>
      <formula2>0</formula2>
    </dataValidation>
    <dataValidation sqref="H3:H12" showDropDown="0" showInputMessage="0" showErrorMessage="0" allowBlank="1" type="list">
      <formula1>"DONE,PARTIAL,PENDING,OPEN,STABLE,WORKING,DESIGNED,NOT IMPLEMENTED"</formula1>
      <formula2>0</formula2>
    </dataValidation>
    <dataValidation sqref="B3:B12" showDropDown="0" showInputMessage="0" showErrorMessage="0" allowBlank="0" type="list">
      <formula1>"YES,NO"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</cols>
  <sheetData>
    <row r="1" ht="17.08984375" customHeight="1" s="213">
      <c r="A1" s="290" t="inlineStr">
        <is>
          <t>Lane</t>
        </is>
      </c>
      <c r="B1" s="276" t="inlineStr">
        <is>
          <t>Purpose</t>
        </is>
      </c>
      <c r="C1" s="276" t="inlineStr">
        <is>
          <t>Current Truth</t>
        </is>
      </c>
      <c r="D1" s="276" t="inlineStr">
        <is>
          <t>Primary Gap</t>
        </is>
      </c>
      <c r="E1" s="276" t="inlineStr">
        <is>
          <t>Next Move</t>
        </is>
      </c>
      <c r="F1" s="277" t="inlineStr">
        <is>
          <t>Do Not Do Yet</t>
        </is>
      </c>
      <c r="G1" s="266" t="inlineStr">
        <is>
          <t>BLOCKED_BY</t>
        </is>
      </c>
      <c r="H1" s="266" t="inlineStr">
        <is>
          <t>DEPENDS_ON_RCA</t>
        </is>
      </c>
      <c r="I1" s="266" t="n"/>
      <c r="J1" s="266" t="n"/>
      <c r="K1" s="266" t="n"/>
    </row>
    <row r="2" ht="14.39999961853027" customHeight="1" s="213">
      <c r="A2" s="285" t="inlineStr">
        <is>
          <t>System Liveness</t>
        </is>
      </c>
      <c r="B2" s="286" t="inlineStr">
        <is>
          <t>Keep jobs moving reliably and under latency target</t>
        </is>
      </c>
      <c r="C2" s="286" t="inlineStr">
        <is>
          <t>Stable baseline; auth and dev/prod guards verified</t>
        </is>
      </c>
      <c r="D2" s="286" t="inlineStr">
        <is>
          <t>Monitor only</t>
        </is>
      </c>
      <c r="E2" s="286" t="inlineStr">
        <is>
          <t>Protect with smoke/reliability gates</t>
        </is>
      </c>
      <c r="F2" s="270" t="inlineStr">
        <is>
          <t>Further latency tuning before truth enforcement</t>
        </is>
      </c>
      <c r="G2" s="126" t="str"/>
      <c r="H2" s="126" t="str"/>
      <c r="I2" s="126" t="n"/>
      <c r="J2" s="126" t="n"/>
      <c r="K2" s="126" t="n"/>
    </row>
    <row r="3" ht="14.39999961853027" customHeight="1" s="213">
      <c r="A3" s="133" t="inlineStr">
        <is>
          <t>Persistence / Boundary</t>
        </is>
      </c>
      <c r="B3" s="134" t="inlineStr">
        <is>
          <t>Make invalid artifact persistence impossible</t>
        </is>
      </c>
      <c r="C3" s="134" t="inlineStr">
        <is>
          <t>ENFORCED; atomic success path proven; boundary raw-shape gap RESOLVED with live DB evidence</t>
        </is>
      </c>
      <c r="D3" s="134" t="inlineStr">
        <is>
          <t>None for covered PASS persistence path</t>
        </is>
      </c>
      <c r="E3" s="134" t="inlineStr">
        <is>
          <t>Preserve PR #240–#243 guard/tests; keep PASS-path gate_enforcement regression; future live checks must query progress-&gt;'gate_enforcement'.</t>
        </is>
      </c>
      <c r="F3" s="135" t="inlineStr">
        <is>
          <t>Assume future schema changes are covered without rerunning raw PASS shape proof</t>
        </is>
      </c>
      <c r="G3" s="126" t="inlineStr">
        <is>
          <t>RCA-BOUNDARY-SHAPE-001</t>
        </is>
      </c>
      <c r="H3" s="126" t="inlineStr">
        <is>
          <t>RCA-ATOMIC-PERSISTENCE-001; RCA-BOUNDARY-SHAPE-001</t>
        </is>
      </c>
      <c r="I3" s="126" t="n"/>
      <c r="J3" s="126" t="n"/>
      <c r="K3" s="126" t="n"/>
    </row>
    <row r="4" ht="14.39999961853027" customHeight="1" s="213">
      <c r="A4" s="136" t="inlineStr">
        <is>
          <t>Governance</t>
        </is>
      </c>
      <c r="B4" s="137" t="inlineStr">
        <is>
          <t>Make invalid or overconfident output impossible to present</t>
        </is>
      </c>
      <c r="C4" s="137" t="inlineStr">
        <is>
          <t>Execution gates strong; U2-003/U2-006 are implemented and pushed, but live proof pending.</t>
        </is>
      </c>
      <c r="D4" s="137" t="inlineStr">
        <is>
          <t>U2-003/U2-006 need live server/API proof before closure.</t>
        </is>
      </c>
      <c r="E4" s="137" t="inlineStr">
        <is>
          <t>Run U2 live proof and capture persisted/API artifact fields before RESOLVED.</t>
        </is>
      </c>
      <c r="F4" s="138" t="inlineStr">
        <is>
          <t>More prompt work before U2</t>
        </is>
      </c>
      <c r="G4" s="126" t="inlineStr">
        <is>
          <t>U2 RCA closure order</t>
        </is>
      </c>
      <c r="H4" s="126" t="inlineStr">
        <is>
          <t>RCA-U2-003; RCA-U2-004; RCA-U2-001; RCA-U2-006; RCA-U2-002; RCA-U2-005</t>
        </is>
      </c>
      <c r="I4" s="126" t="n"/>
      <c r="J4" s="126" t="n"/>
      <c r="K4" s="126" t="n"/>
    </row>
    <row r="5" ht="14.39999961853027" customHeight="1" s="213">
      <c r="A5" s="136" t="inlineStr">
        <is>
          <t>Artifact Quality</t>
        </is>
      </c>
      <c r="B5" s="137" t="inlineStr">
        <is>
          <t>Make output evidence-bound and not shallow</t>
        </is>
      </c>
      <c r="C5" s="137" t="inlineStr">
        <is>
          <t>Structurally complete; U2 anchor/confidence enforcement is implemented+pushed but not live-proven.</t>
        </is>
      </c>
      <c r="D5" s="137" t="inlineStr">
        <is>
          <t>Evidence→confidence→score→summary still pending live closure proof.</t>
        </is>
      </c>
      <c r="E5" s="137" t="inlineStr">
        <is>
          <t>Treat U2-003/U2-006 as PARTIAL REMOTE; do not promote PV115 until live proof and downstream RCAs close.</t>
        </is>
      </c>
      <c r="F5" s="138" t="inlineStr">
        <is>
          <t>Treat polished summary as proof of accuracy</t>
        </is>
      </c>
      <c r="G5" s="126" t="inlineStr">
        <is>
          <t>U2 RCA closure order</t>
        </is>
      </c>
      <c r="H5" s="126" t="inlineStr">
        <is>
          <t>RCA-U2-006; RCA-U2-002; RCA-U2-001; RCA-U2-004</t>
        </is>
      </c>
      <c r="I5" s="126" t="n"/>
      <c r="J5" s="126" t="n"/>
      <c r="K5" s="126" t="n"/>
    </row>
    <row r="6" ht="14.39999961853027" customHeight="1" s="213">
      <c r="A6" s="136" t="inlineStr">
        <is>
          <t>Confidence / CEL</t>
        </is>
      </c>
      <c r="B6" s="137" t="inlineStr">
        <is>
          <t>Turn confidence into deterministic control-flow authority</t>
        </is>
      </c>
      <c r="C6" s="137" t="inlineStr">
        <is>
          <t>U1 boundary enforced; U2 confidence derivation is implemented+pushed but live-proof pending.</t>
        </is>
      </c>
      <c r="D6" s="137" t="inlineStr">
        <is>
          <t>Need live artifact proof for deterministic confidence authority.</t>
        </is>
      </c>
      <c r="E6" s="137" t="inlineStr">
        <is>
          <t>Close RCA-U2-003 only after live proof, then proceed to U2-004.</t>
        </is>
      </c>
      <c r="F6" s="138" t="inlineStr">
        <is>
          <t>Let model confidence drive release authority</t>
        </is>
      </c>
      <c r="G6" s="126" t="inlineStr">
        <is>
          <t>U2 RCA closure order; PV115 waits on U2 RCAs</t>
        </is>
      </c>
      <c r="H6" s="126" t="inlineStr">
        <is>
          <t>RCA-U2-003; RCA-U2-004; RCA-U2-005; PV115-GOLDEN-FIXTURE</t>
        </is>
      </c>
      <c r="I6" s="126" t="n"/>
      <c r="J6" s="126" t="n"/>
      <c r="K6" s="126" t="n"/>
    </row>
    <row r="7" ht="14.39999961853027" customHeight="1" s="213">
      <c r="A7" s="136" t="inlineStr">
        <is>
          <t>Pipeline Feasibility</t>
        </is>
      </c>
      <c r="B7" s="137" t="inlineStr">
        <is>
          <t>Ensure the system reaches gates reliably</t>
        </is>
      </c>
      <c r="C7" s="137" t="inlineStr">
        <is>
          <t>Pass1 output budget fails on longer manuscripts</t>
        </is>
      </c>
      <c r="D7" s="137" t="inlineStr">
        <is>
          <t>finish_reason=length at 3500 tokens</t>
        </is>
      </c>
      <c r="E7" s="137" t="inlineStr">
        <is>
          <t>Measure/reduce Pass1 output surface</t>
        </is>
      </c>
      <c r="F7" s="138" t="inlineStr">
        <is>
          <t>Generic retries or token bump as sole fix</t>
        </is>
      </c>
      <c r="G7" s="126" t="inlineStr">
        <is>
          <t>PASS1_OUTPUT_FEASIBILITY</t>
        </is>
      </c>
      <c r="H7" s="126" t="inlineStr">
        <is>
          <t>RCA-PASS1-TOKEN-001</t>
        </is>
      </c>
      <c r="I7" s="126" t="n"/>
      <c r="J7" s="126" t="n"/>
      <c r="K7" s="126" t="n"/>
    </row>
    <row r="8" ht="14.39999961853027" customHeight="1" s="213">
      <c r="A8" s="136" t="inlineStr">
        <is>
          <t>Dialogue Attribution Gate V2</t>
        </is>
      </c>
      <c r="B8" s="137" t="inlineStr">
        <is>
          <t>Prevent false QG_DIALOGUE_ATTRIBUTION_UNDERAUDITED while preserving fail-closed behavior</t>
        </is>
      </c>
      <c r="C8" s="137" t="inlineStr">
        <is>
          <t>Gate-level ENFORCED on reachable post-fix runs</t>
        </is>
      </c>
      <c r="D8" s="137" t="inlineStr">
        <is>
          <t>Upstream reachability can mask proof</t>
        </is>
      </c>
      <c r="E8" s="137" t="inlineStr">
        <is>
          <t>Keep gate; use diagnostics if future failures recur</t>
        </is>
      </c>
      <c r="F8" s="138" t="inlineStr">
        <is>
          <t>Rework gate based on pre-fix jobs</t>
        </is>
      </c>
      <c r="G8" s="126" t="inlineStr">
        <is>
          <t>Upstream reachability only</t>
        </is>
      </c>
      <c r="H8" s="126" t="inlineStr">
        <is>
          <t>RCA-DIALOGUE-GATE-001</t>
        </is>
      </c>
      <c r="I8" s="126" t="n"/>
      <c r="J8" s="126" t="n"/>
      <c r="K8" s="126" t="n"/>
    </row>
    <row r="9" ht="14.39999961853027" customHeight="1" s="213">
      <c r="A9" s="136" t="inlineStr">
        <is>
          <t>Failure Diagnostics</t>
        </is>
      </c>
      <c r="B9" s="137" t="inlineStr">
        <is>
          <t>Make failures queryable and causal</t>
        </is>
      </c>
      <c r="C9" s="137" t="inlineStr">
        <is>
          <t>pipeline_failure_envelope works; diagnostics structural only</t>
        </is>
      </c>
      <c r="D9" s="137" t="inlineStr">
        <is>
          <t>Need fresh non-null pipeline_failure_diagnostics sample</t>
        </is>
      </c>
      <c r="E9" s="137" t="inlineStr">
        <is>
          <t>Run targeted post-fix diagnostic failure proof</t>
        </is>
      </c>
      <c r="F9" s="138" t="inlineStr">
        <is>
          <t>Call diagnostics enforced from old jobs</t>
        </is>
      </c>
      <c r="G9" s="126" t="inlineStr">
        <is>
          <t>Fresh non-null diagnostics sample</t>
        </is>
      </c>
      <c r="H9" s="126" t="inlineStr">
        <is>
          <t>RCA-FAILURE-ENVELOPE-001</t>
        </is>
      </c>
      <c r="I9" s="126" t="n"/>
      <c r="J9" s="126" t="n"/>
      <c r="K9" s="126" t="n"/>
    </row>
    <row r="10" ht="14.39999961853027" customHeight="1" s="213">
      <c r="A10" s="136" t="inlineStr">
        <is>
          <t>User UI</t>
        </is>
      </c>
      <c r="B10" s="137" t="inlineStr">
        <is>
          <t>Show users system truth clearly</t>
        </is>
      </c>
      <c r="C10" s="137" t="inlineStr">
        <is>
          <t>Lifecycle visible; truth authority not fully fused</t>
        </is>
      </c>
      <c r="D10" s="137" t="inlineStr">
        <is>
          <t>warningClassification must obey confidence topology</t>
        </is>
      </c>
      <c r="E10" s="137" t="inlineStr">
        <is>
          <t>Block high-confidence UI when upstream is weak/mixed</t>
        </is>
      </c>
      <c r="F10" s="138" t="inlineStr">
        <is>
          <t>Decorative confidence banners</t>
        </is>
      </c>
      <c r="G10" s="126" t="inlineStr">
        <is>
          <t>U2 propagation topology</t>
        </is>
      </c>
      <c r="H10" s="126" t="inlineStr">
        <is>
          <t>RCA-U2-005 depends on RCA-U2-004</t>
        </is>
      </c>
      <c r="I10" s="126" t="n"/>
      <c r="J10" s="126" t="n"/>
      <c r="K10" s="126" t="n"/>
    </row>
    <row r="11" ht="14.39999961853027" customHeight="1" s="213">
      <c r="A11" s="136" t="inlineStr">
        <is>
          <t>Admin Ops</t>
        </is>
      </c>
      <c r="B11" s="137" t="inlineStr">
        <is>
          <t>Expose process/subprocess failures</t>
        </is>
      </c>
      <c r="C11" s="137" t="inlineStr">
        <is>
          <t>Ops useful but secondary</t>
        </is>
      </c>
      <c r="D11" s="137" t="inlineStr">
        <is>
          <t>Not primary blocker</t>
        </is>
      </c>
      <c r="E11" s="137" t="inlineStr">
        <is>
          <t>Build after U2/Pass1 tracks stabilize</t>
        </is>
      </c>
      <c r="F11" s="138" t="inlineStr">
        <is>
          <t>Admin UX before truth state is locked</t>
        </is>
      </c>
      <c r="G11" s="126" t="inlineStr">
        <is>
          <t>PASS1_OUTPUT_FEASIBILITY</t>
        </is>
      </c>
      <c r="H11" s="126" t="inlineStr">
        <is>
          <t>RCA-PASS1-TOKEN-001</t>
        </is>
      </c>
      <c r="I11" s="126" t="n"/>
      <c r="J11" s="126" t="n"/>
      <c r="K11" s="126" t="n"/>
    </row>
    <row r="12" ht="14.39999961853027" customHeight="1" s="213">
      <c r="A12" s="136" t="inlineStr">
        <is>
          <t>Canon / Docs</t>
        </is>
      </c>
      <c r="B12" s="137" t="inlineStr">
        <is>
          <t>Keep doctrine aligned to code</t>
        </is>
      </c>
      <c r="C12" s="137" t="inlineStr">
        <is>
          <t>Canon strong; system state must stay committed</t>
        </is>
      </c>
      <c r="D12" s="137" t="inlineStr">
        <is>
          <t>Need persistent current ledger</t>
        </is>
      </c>
      <c r="E12" s="137" t="inlineStr">
        <is>
          <t>Commit/update SYSTEM_STATE or workbook each block</t>
        </is>
      </c>
      <c r="F12" s="138" t="inlineStr">
        <is>
          <t>Rely on chat memory</t>
        </is>
      </c>
      <c r="G12" s="126" t="str"/>
      <c r="H12" s="126" t="str"/>
      <c r="I12" s="126" t="n"/>
      <c r="J12" s="126" t="n"/>
      <c r="K12" s="126" t="n"/>
    </row>
    <row r="13" ht="14.39999961853027" customHeight="1" s="213">
      <c r="A13" s="139" t="inlineStr">
        <is>
          <t>U3 Contradiction Detection</t>
        </is>
      </c>
      <c r="B13" s="140" t="inlineStr">
        <is>
          <t>Detect and surface contradictions</t>
        </is>
      </c>
      <c r="C13" s="140" t="inlineStr">
        <is>
          <t>Pending</t>
        </is>
      </c>
      <c r="D13" s="140" t="inlineStr">
        <is>
          <t>No detector/taxonomy/runtime gate</t>
        </is>
      </c>
      <c r="E13" s="140" t="inlineStr">
        <is>
          <t>Schedule after U2</t>
        </is>
      </c>
      <c r="F13" s="141" t="inlineStr">
        <is>
          <t>Mix with U2 initial PR</t>
        </is>
      </c>
      <c r="G13" s="126" t="str"/>
      <c r="H13" s="126" t="str"/>
      <c r="I13" s="126" t="n"/>
      <c r="J13" s="126" t="n"/>
      <c r="K13" s="126" t="n"/>
    </row>
    <row r="14" ht="14.39999961853027" customHeight="1" s="213">
      <c r="A14" s="126" t="n"/>
      <c r="B14" s="126" t="n"/>
      <c r="C14" s="126" t="n"/>
      <c r="D14" s="126" t="n"/>
      <c r="E14" s="126" t="n"/>
      <c r="F14" s="126" t="n"/>
      <c r="G14" s="126" t="str"/>
      <c r="H14" s="126" t="str"/>
      <c r="I14" s="126" t="n"/>
      <c r="J14" s="126" t="n"/>
      <c r="K14" s="126" t="n"/>
    </row>
    <row r="15" ht="14.39999961853027" customHeight="1" s="213">
      <c r="A15" s="126" t="n"/>
      <c r="B15" s="126" t="n"/>
      <c r="C15" s="126" t="n"/>
      <c r="D15" s="126" t="n"/>
      <c r="E15" s="126" t="n"/>
      <c r="F15" s="126" t="n"/>
      <c r="G15" s="126" t="str"/>
      <c r="H15" s="126" t="str"/>
      <c r="I15" s="126" t="n"/>
      <c r="J15" s="126" t="n"/>
      <c r="K15" s="126" t="n"/>
    </row>
    <row r="16" ht="14.39999961853027" customHeight="1" s="213">
      <c r="A16" s="126" t="n"/>
      <c r="B16" s="126" t="n"/>
      <c r="C16" s="126" t="n"/>
      <c r="D16" s="126" t="n"/>
      <c r="E16" s="126" t="n"/>
      <c r="F16" s="126" t="n"/>
      <c r="G16" s="126" t="str"/>
      <c r="H16" s="126" t="str"/>
      <c r="I16" s="126" t="n"/>
      <c r="J16" s="126" t="n"/>
      <c r="K16" s="126" t="n"/>
    </row>
    <row r="17" ht="14.39999961853027" customHeight="1" s="213">
      <c r="A17" s="126" t="n"/>
      <c r="B17" s="126" t="n"/>
      <c r="C17" s="126" t="n"/>
      <c r="D17" s="126" t="n"/>
      <c r="E17" s="126" t="n"/>
      <c r="F17" s="126" t="n"/>
      <c r="G17" s="126" t="str"/>
      <c r="H17" s="126" t="str"/>
      <c r="I17" s="126" t="n"/>
      <c r="J17" s="126" t="n"/>
      <c r="K17" s="126" t="n"/>
    </row>
    <row r="18" ht="14.39999961853027" customHeight="1" s="213">
      <c r="A18" s="126" t="n"/>
      <c r="B18" s="126" t="n"/>
      <c r="C18" s="126" t="n"/>
      <c r="D18" s="126" t="n"/>
      <c r="E18" s="126" t="n"/>
      <c r="F18" s="126" t="n"/>
      <c r="G18" s="126" t="str"/>
      <c r="H18" s="126" t="str"/>
      <c r="I18" s="126" t="n"/>
      <c r="J18" s="126" t="n"/>
      <c r="K18" s="126" t="n"/>
    </row>
    <row r="19" ht="14.39999961853027" customHeight="1" s="213">
      <c r="A19" s="126" t="n"/>
      <c r="B19" s="126" t="n"/>
      <c r="C19" s="126" t="n"/>
      <c r="D19" s="126" t="n"/>
      <c r="E19" s="126" t="n"/>
      <c r="F19" s="126" t="n"/>
      <c r="G19" s="126" t="str"/>
      <c r="H19" s="126" t="str"/>
      <c r="I19" s="126" t="n"/>
      <c r="J19" s="126" t="n"/>
      <c r="K19" s="126" t="n"/>
    </row>
    <row r="20" ht="14.39999961853027" customHeight="1" s="213">
      <c r="A20" s="126" t="n"/>
      <c r="B20" s="126" t="n"/>
      <c r="C20" s="126" t="n"/>
      <c r="D20" s="126" t="n"/>
      <c r="E20" s="126" t="n"/>
      <c r="F20" s="126" t="n"/>
      <c r="G20" s="126" t="str"/>
      <c r="H20" s="126" t="str"/>
      <c r="I20" s="126" t="n"/>
      <c r="J20" s="126" t="n"/>
      <c r="K20" s="126" t="n"/>
    </row>
    <row r="21">
      <c r="A21" s="284" t="inlineStr">
        <is>
          <t>Pass1 Model/Budget Strategy</t>
        </is>
      </c>
      <c r="B21" s="284" t="inlineStr">
        <is>
          <t>Restore reliable reachability to downstream synthesis/governance.</t>
        </is>
      </c>
      <c r="C21" s="284" t="inlineStr">
        <is>
          <t>OPEN / BLOCKING: o3 consumed max_output_tokens as reasoning and emitted empty Pass1 content.</t>
        </is>
      </c>
      <c r="D21" s="284" t="inlineStr">
        <is>
          <t>No chosen model/budget fix yet.</t>
        </is>
      </c>
      <c r="E21" s="284" t="inlineStr">
        <is>
          <t>Choose no-run strategy; then patch/test before new live evaluation.</t>
        </is>
      </c>
      <c r="F21" s="284" t="inlineStr">
        <is>
          <t>Do not trigger more evaluations until resolved.</t>
        </is>
      </c>
      <c r="G21" s="284" t="inlineStr">
        <is>
          <t>None</t>
        </is>
      </c>
      <c r="H21" s="284" t="inlineStr">
        <is>
          <t>RCA-PASS1-TOKEN-001</t>
        </is>
      </c>
      <c r="I21" s="126" t="n"/>
      <c r="J21" s="126" t="n"/>
      <c r="K21" s="126" t="n"/>
    </row>
    <row r="22">
      <c r="A22" s="284" t="inlineStr">
        <is>
          <t>Evaluation Quality Enforcement</t>
        </is>
      </c>
      <c r="B22" s="284" t="inlineStr">
        <is>
          <t>Prevent structurally valid but semantically weak reports from publishing as authoritative.</t>
        </is>
      </c>
      <c r="C22" s="284" t="inlineStr">
        <is>
          <t>PENDING: PV115 proves semantic permissiveness; exact repo gate path requires read-only trace.</t>
        </is>
      </c>
      <c r="D22" s="284" t="inlineStr">
        <is>
          <t>Genericity, confidence non-enforcement, compression loss, leakage, traceability.</t>
        </is>
      </c>
      <c r="E22" s="284" t="inlineStr">
        <is>
          <t>Trace job 3b5bc57a; then implement RCA-EVAL-QUALITY-001..005 gates.</t>
        </is>
      </c>
      <c r="F22" s="284" t="inlineStr">
        <is>
          <t>Do not claim Pass4 failure without repo evidence.</t>
        </is>
      </c>
      <c r="G22" s="284" t="inlineStr">
        <is>
          <t>RCA-U2-003; RCA-U2-006; Pass1 reachability</t>
        </is>
      </c>
      <c r="H22" s="284" t="inlineStr">
        <is>
          <t>RCA-EVAL-QUALITY-001..005</t>
        </is>
      </c>
      <c r="I22" s="126" t="n"/>
      <c r="J22" s="126" t="n"/>
      <c r="K22" s="126" t="n"/>
    </row>
    <row r="23">
      <c r="A23" s="284" t="inlineStr">
        <is>
          <t>Env Contract Typing</t>
        </is>
      </c>
      <c r="B23" s="284" t="inlineStr">
        <is>
          <t>Clear narrow CI/test fixture failure without runtime contract weakening.</t>
        </is>
      </c>
      <c r="C23" s="284" t="inlineStr">
        <is>
          <t>READY_FOR_PR: test-only fixture typing issue.</t>
        </is>
      </c>
      <c r="D23" s="284" t="inlineStr">
        <is>
          <t>PR not applied.</t>
        </is>
      </c>
      <c r="E23" s="284" t="inlineStr">
        <is>
          <t>Apply helper cast and NODE_ENV:"test" fixture additions.</t>
        </is>
      </c>
      <c r="F23" s="284" t="inlineStr">
        <is>
          <t>Do not widen ProcessEnv or relax validation.</t>
        </is>
      </c>
      <c r="G23" s="284" t="inlineStr">
        <is>
          <t>None</t>
        </is>
      </c>
      <c r="H23" s="284" t="inlineStr">
        <is>
          <t>RCA-ENV-CONTRACT-TYPING-001</t>
        </is>
      </c>
      <c r="I23" s="126" t="n"/>
      <c r="J23" s="126" t="n"/>
      <c r="K23" s="126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</cols>
  <sheetData>
    <row r="1" ht="28.04999923706055" customHeight="1" s="213">
      <c r="A1" s="290" t="inlineStr">
        <is>
          <t>Canon Rule / Invariant</t>
        </is>
      </c>
      <c r="B1" s="276" t="inlineStr">
        <is>
          <t>Current Enforcement</t>
        </is>
      </c>
      <c r="C1" s="276" t="inlineStr">
        <is>
          <t>Can Fail Silently?</t>
        </is>
      </c>
      <c r="D1" s="276" t="inlineStr">
        <is>
          <t>Primary Code Boundary</t>
        </is>
      </c>
      <c r="E1" s="276" t="inlineStr">
        <is>
          <t>Proof Required</t>
        </is>
      </c>
      <c r="F1" s="277" t="inlineStr">
        <is>
          <t>Notes</t>
        </is>
      </c>
    </row>
    <row r="2" ht="31.95000076293945" customHeight="1" s="213">
      <c r="A2" s="285" t="inlineStr">
        <is>
          <t>Only V2 boundary may persist evaluation artifacts</t>
        </is>
      </c>
      <c r="B2" s="286" t="inlineStr">
        <is>
          <t>ENFORCED</t>
        </is>
      </c>
      <c r="C2" s="286" t="inlineStr">
        <is>
          <t>NO</t>
        </is>
      </c>
      <c r="D2" s="286" t="inlineStr">
        <is>
          <t>persistEvaluationResultV2.ts; guard script</t>
        </is>
      </c>
      <c r="E2" s="286" t="inlineStr">
        <is>
          <t>Boundary guard + mutation tests</t>
        </is>
      </c>
      <c r="F2" s="270" t="inlineStr">
        <is>
          <t>PR #240 / Step 1.5.</t>
        </is>
      </c>
    </row>
    <row r="3" ht="54" customHeight="1" s="213">
      <c r="A3" s="133" t="inlineStr">
        <is>
          <t>Artifact + completion success path is atomic</t>
        </is>
      </c>
      <c r="B3" s="134" t="inlineStr">
        <is>
          <t>ENFORCED</t>
        </is>
      </c>
      <c r="C3" s="134" t="inlineStr">
        <is>
          <t>NO</t>
        </is>
      </c>
      <c r="D3" s="134" t="inlineStr">
        <is>
          <t>persist_evaluation_v2_atomic RPC</t>
        </is>
      </c>
      <c r="E3" s="134" t="inlineStr">
        <is>
          <t>Production job + artifact proof</t>
        </is>
      </c>
      <c r="F3" s="135" t="inlineStr">
        <is>
          <t>PR #241–#243; job 29089ed6; artifact af699bd8.</t>
        </is>
      </c>
    </row>
    <row r="4" ht="54" customHeight="1" s="213">
      <c r="A4" s="136" t="inlineStr">
        <is>
          <t>QualityGate must run before persistence</t>
        </is>
      </c>
      <c r="B4" s="137" t="inlineStr">
        <is>
          <t>ENFORCED</t>
        </is>
      </c>
      <c r="C4" s="137" t="inlineStr">
        <is>
          <t>NO</t>
        </is>
      </c>
      <c r="D4" s="137" t="inlineStr">
        <is>
          <t>persistEvaluationResultV2.ts</t>
        </is>
      </c>
      <c r="E4" s="137" t="inlineStr">
        <is>
          <t>Fail-closed tests</t>
        </is>
      </c>
      <c r="F4" s="138" t="inlineStr">
        <is>
          <t>Invalid artifact cannot persist as complete.</t>
        </is>
      </c>
    </row>
    <row r="5" ht="54" customHeight="1" s="213">
      <c r="A5" s="136" t="inlineStr">
        <is>
          <t>All 13 canonical criteria must exist exactly once</t>
        </is>
      </c>
      <c r="B5" s="137" t="inlineStr">
        <is>
          <t>OBSERVED</t>
        </is>
      </c>
      <c r="C5" s="137" t="inlineStr">
        <is>
          <t>YES</t>
        </is>
      </c>
      <c r="D5" s="137" t="inlineStr">
        <is>
          <t>evaluation-result-v2 schema / validators</t>
        </is>
      </c>
      <c r="E5" s="137" t="inlineStr">
        <is>
          <t>Schema + mutation tests</t>
        </is>
      </c>
      <c r="F5" s="138" t="inlineStr">
        <is>
          <t>Canon remains 13 criteria; no 14th criterion without formal canon change.</t>
        </is>
      </c>
    </row>
    <row r="6" ht="54" customHeight="1" s="213">
      <c r="A6" s="136" t="inlineStr">
        <is>
          <t>Scores are integer 0–10 only</t>
        </is>
      </c>
      <c r="B6" s="137" t="inlineStr">
        <is>
          <t>OBSERVED</t>
        </is>
      </c>
      <c r="C6" s="137" t="inlineStr">
        <is>
          <t>YES</t>
        </is>
      </c>
      <c r="D6" s="137" t="inlineStr">
        <is>
          <t>validator / qualityGate</t>
        </is>
      </c>
      <c r="E6" s="137" t="inlineStr">
        <is>
          <t>Unit + artifact snapshot</t>
        </is>
      </c>
      <c r="F6" s="138" t="inlineStr">
        <is>
          <t>U2 will add score-confidence constraints.</t>
        </is>
      </c>
    </row>
    <row r="7" ht="54" customHeight="1" s="213">
      <c r="A7" s="136" t="inlineStr">
        <is>
          <t>Evidence must control confidence</t>
        </is>
      </c>
      <c r="B7" s="137" t="inlineStr">
        <is>
          <t>PENDING</t>
        </is>
      </c>
      <c r="C7" s="137" t="inlineStr">
        <is>
          <t>YES</t>
        </is>
      </c>
      <c r="D7" s="137" t="inlineStr">
        <is>
          <t>qualityGate.ts / confidenceDerivation.ts</t>
        </is>
      </c>
      <c r="E7" s="137" t="inlineStr">
        <is>
          <t>U2 propagation tests</t>
        </is>
      </c>
      <c r="F7" s="138" t="inlineStr">
        <is>
          <t>Core fidelity gap.</t>
        </is>
      </c>
    </row>
    <row r="8" ht="54" customHeight="1" s="213">
      <c r="A8" s="136" t="inlineStr">
        <is>
          <t>Low confidence cannot support high score/authority</t>
        </is>
      </c>
      <c r="B8" s="137" t="inlineStr">
        <is>
          <t>PENDING</t>
        </is>
      </c>
      <c r="C8" s="137" t="inlineStr">
        <is>
          <t>YES</t>
        </is>
      </c>
      <c r="D8" s="137" t="inlineStr">
        <is>
          <t>qualityGate.ts / warningClassification.ts</t>
        </is>
      </c>
      <c r="E8" s="137" t="inlineStr">
        <is>
          <t>QG_FIDELITY_SCORE_CONFIDENCE_MISMATCH</t>
        </is>
      </c>
      <c r="F8" s="138" t="inlineStr">
        <is>
          <t>Proposed U2 rule.</t>
        </is>
      </c>
    </row>
    <row r="9" ht="54" customHeight="1" s="213">
      <c r="A9" s="136" t="inlineStr">
        <is>
          <t>Pass 3 cannot wash over weaknesses</t>
        </is>
      </c>
      <c r="B9" s="137" t="inlineStr">
        <is>
          <t>PENDING</t>
        </is>
      </c>
      <c r="C9" s="137" t="inlineStr">
        <is>
          <t>YES</t>
        </is>
      </c>
      <c r="D9" s="137" t="inlineStr">
        <is>
          <t>runPass3Synthesis.ts + qualityGate.ts</t>
        </is>
      </c>
      <c r="E9" s="137" t="inlineStr">
        <is>
          <t>QG_SUMMARY_OMITS_WEAKNESS</t>
        </is>
      </c>
      <c r="F9" s="138" t="inlineStr">
        <is>
          <t>Summary must cite bottom-scoring weakness cluster.</t>
        </is>
      </c>
    </row>
    <row r="10" ht="54" customHeight="1" s="213">
      <c r="A10" s="136" t="inlineStr">
        <is>
          <t>UI can only show what governance has proven</t>
        </is>
      </c>
      <c r="B10" s="137" t="inlineStr">
        <is>
          <t>PENDING</t>
        </is>
      </c>
      <c r="C10" s="137" t="inlineStr">
        <is>
          <t>YES</t>
        </is>
      </c>
      <c r="D10" s="137" t="inlineStr">
        <is>
          <t>warningClassification.ts</t>
        </is>
      </c>
      <c r="E10" s="137" t="inlineStr">
        <is>
          <t>PASS + low confidence contradiction test</t>
        </is>
      </c>
      <c r="F10" s="138" t="inlineStr">
        <is>
          <t>High-confidence banner must obey confidence topology.</t>
        </is>
      </c>
    </row>
    <row r="11" ht="54" customHeight="1" s="213">
      <c r="A11" s="136" t="inlineStr">
        <is>
          <t>Dialogue rationale must prove attribution/rendering analysis</t>
        </is>
      </c>
      <c r="B11" s="137" t="inlineStr">
        <is>
          <t>ENFORCED — gate-level</t>
        </is>
      </c>
      <c r="C11" s="137" t="inlineStr">
        <is>
          <t>NO</t>
        </is>
      </c>
      <c r="D11" s="137" t="inlineStr">
        <is>
          <t>qualityGate.ts / analyzeDialogueAttributionForGate</t>
        </is>
      </c>
      <c r="E11" s="137" t="inlineStr">
        <is>
          <t>Post-fix reached-gate proof</t>
        </is>
      </c>
      <c r="F11" s="138" t="inlineStr">
        <is>
          <t>PR #245; upstream reachability caveat.</t>
        </is>
      </c>
    </row>
    <row r="12" ht="54" customHeight="1" s="213">
      <c r="A12" s="136" t="inlineStr">
        <is>
          <t>Pipeline failure envelope must persist for terminal failures</t>
        </is>
      </c>
      <c r="B12" s="137" t="inlineStr">
        <is>
          <t>ENFORCED</t>
        </is>
      </c>
      <c r="C12" s="137" t="inlineStr">
        <is>
          <t>NO</t>
        </is>
      </c>
      <c r="D12" s="137" t="inlineStr">
        <is>
          <t>processor markFailed / failure finalizer</t>
        </is>
      </c>
      <c r="E12" s="137" t="inlineStr">
        <is>
          <t>DB query job 40b377de and fresh failures</t>
        </is>
      </c>
      <c r="F12" s="138" t="inlineStr">
        <is>
          <t>Diagnostics trace is separate.</t>
        </is>
      </c>
    </row>
    <row r="13" ht="54" customHeight="1" s="213">
      <c r="A13" s="136" t="inlineStr">
        <is>
          <t>Quality-gate diagnostics must persist when available</t>
        </is>
      </c>
      <c r="B13" s="137" t="inlineStr">
        <is>
          <t>STRUCTURAL ENFORCED / EMPIRICAL PENDING</t>
        </is>
      </c>
      <c r="C13" s="137" t="inlineStr">
        <is>
          <t>YES</t>
        </is>
      </c>
      <c r="D13" s="137" t="inlineStr">
        <is>
          <t>QualityGateCheck.diagnostics → runPipeline.failure_details</t>
        </is>
      </c>
      <c r="E13" s="137" t="inlineStr">
        <is>
          <t>Fresh non-null diagnostics failure sample</t>
        </is>
      </c>
      <c r="F13" s="138" t="inlineStr">
        <is>
          <t>Do not overclaim from pre-fix jobs.</t>
        </is>
      </c>
    </row>
    <row r="14" ht="54" customHeight="1" s="213">
      <c r="A14" s="136" t="inlineStr">
        <is>
          <t>Pass 1 output must fit bounded response budget</t>
        </is>
      </c>
      <c r="B14" s="137" t="inlineStr">
        <is>
          <t>FAILED / OPEN</t>
        </is>
      </c>
      <c r="C14" s="137" t="inlineStr">
        <is>
          <t>YES</t>
        </is>
      </c>
      <c r="D14" s="137" t="inlineStr">
        <is>
          <t>Pass1 prompt/output contract</t>
        </is>
      </c>
      <c r="E14" s="137" t="inlineStr">
        <is>
          <t>finish_reason length elimination proof</t>
        </is>
      </c>
      <c r="F14" s="138" t="inlineStr">
        <is>
          <t>PASS1_OUTPUT_FEASIBILITY track.</t>
        </is>
      </c>
    </row>
    <row r="15" ht="54" customHeight="1" s="213">
      <c r="A15" s="139" t="inlineStr">
        <is>
          <t>Contradictions must be detected and surfaced</t>
        </is>
      </c>
      <c r="B15" s="140" t="inlineStr">
        <is>
          <t>PENDING</t>
        </is>
      </c>
      <c r="C15" s="140" t="inlineStr">
        <is>
          <t>YES</t>
        </is>
      </c>
      <c r="D15" s="140" t="inlineStr">
        <is>
          <t>Gate 15.2 detector / QualityGate</t>
        </is>
      </c>
      <c r="E15" s="140" t="inlineStr">
        <is>
          <t>Contradiction golden set</t>
        </is>
      </c>
      <c r="F15" s="141" t="inlineStr">
        <is>
          <t>U3 after U2.</t>
        </is>
      </c>
    </row>
    <row r="16">
      <c r="A16" s="126" t="n"/>
      <c r="B16" s="126" t="n"/>
      <c r="C16" s="126" t="n"/>
      <c r="D16" s="126" t="n"/>
      <c r="E16" s="126" t="n"/>
      <c r="F16" s="126" t="n"/>
    </row>
    <row r="17">
      <c r="A17" s="126" t="inlineStr">
        <is>
          <t>Canon Area</t>
        </is>
      </c>
      <c r="B17" s="126" t="inlineStr">
        <is>
          <t>Concern</t>
        </is>
      </c>
      <c r="C17" s="126" t="inlineStr">
        <is>
          <t>Code / Doc Surface</t>
        </is>
      </c>
      <c r="D17" s="126" t="inlineStr">
        <is>
          <t>Invariant</t>
        </is>
      </c>
      <c r="E17" s="126" t="inlineStr">
        <is>
          <t>Status</t>
        </is>
      </c>
      <c r="F17" s="126" t="n"/>
    </row>
    <row r="18">
      <c r="A18" s="126" t="inlineStr">
        <is>
          <t>Canon doctrine</t>
        </is>
      </c>
      <c r="B18" s="126" t="inlineStr">
        <is>
          <t>U-layer execution law</t>
        </is>
      </c>
      <c r="C18" s="126" t="inlineStr">
        <is>
          <t>Workbook Doctrine sheet</t>
        </is>
      </c>
      <c r="D18" s="126" t="inlineStr">
        <is>
          <t>U1→U2→U3; no bypass; no hidden gates.</t>
        </is>
      </c>
      <c r="E18" s="126" t="inlineStr">
        <is>
          <t>ACTIVE</t>
        </is>
      </c>
      <c r="F18" s="126" t="n"/>
    </row>
    <row r="19">
      <c r="A19" s="126" t="inlineStr">
        <is>
          <t>CANON criteria keys</t>
        </is>
      </c>
      <c r="B19" s="126" t="inlineStr">
        <is>
          <t>13 canonical criteria</t>
        </is>
      </c>
      <c r="C19" s="126" t="inlineStr">
        <is>
          <t>CRITERIA_KEYS / registry</t>
        </is>
      </c>
      <c r="D19" s="126" t="inlineStr">
        <is>
          <t>No aliases; evidence/recommendations must bind to canonical criteria.</t>
        </is>
      </c>
      <c r="E19" s="126" t="inlineStr">
        <is>
          <t>ACTIVE</t>
        </is>
      </c>
      <c r="F19" s="126" t="n"/>
    </row>
    <row r="20">
      <c r="A20" s="126" t="inlineStr">
        <is>
          <t>QualityGate</t>
        </is>
      </c>
      <c r="B20" s="126" t="inlineStr">
        <is>
          <t>Deterministic enforcement</t>
        </is>
      </c>
      <c r="C20" s="126" t="inlineStr">
        <is>
          <t>lib/evaluation/pipeline/qualityGate.ts</t>
        </is>
      </c>
      <c r="D20" s="126" t="inlineStr">
        <is>
          <t>Quality gate is code authority, not model authority.</t>
        </is>
      </c>
      <c r="E20" s="126" t="inlineStr">
        <is>
          <t>ACTIVE</t>
        </is>
      </c>
      <c r="F20" s="126" t="n"/>
    </row>
    <row r="21">
      <c r="A21" s="126" t="inlineStr">
        <is>
          <t>Pass 3 synthesis</t>
        </is>
      </c>
      <c r="B21" s="126" t="inlineStr">
        <is>
          <t>Synthesis authority</t>
        </is>
      </c>
      <c r="C21" s="126" t="inlineStr">
        <is>
          <t>lib/evaluation/pipeline/runPipeline.ts / Pass3 prompt</t>
        </is>
      </c>
      <c r="D21" s="126" t="inlineStr">
        <is>
          <t>No new claims without Pass 1/2 evidence carry-through.</t>
        </is>
      </c>
      <c r="E21" s="126" t="inlineStr">
        <is>
          <t>PENDING</t>
        </is>
      </c>
      <c r="F21" s="126" t="n"/>
    </row>
    <row r="22">
      <c r="A22" s="126" t="inlineStr">
        <is>
          <t>UI authority</t>
        </is>
      </c>
      <c r="B22" s="126" t="inlineStr">
        <is>
          <t>User-facing report truth</t>
        </is>
      </c>
      <c r="C22" s="126" t="inlineStr">
        <is>
          <t>/evaluate/[jobId]/report surfaces</t>
        </is>
      </c>
      <c r="D22" s="126" t="inlineStr">
        <is>
          <t>Confidence and limitations must constrain presentation authority.</t>
        </is>
      </c>
      <c r="E22" s="126" t="inlineStr">
        <is>
          <t>PENDING</t>
        </is>
      </c>
      <c r="F22" s="126" t="n"/>
    </row>
    <row r="23">
      <c r="A23" s="126" t="inlineStr">
        <is>
          <t>Roadmap authority</t>
        </is>
      </c>
      <c r="B23" s="126" t="inlineStr">
        <is>
          <t>Workbook source of truth</t>
        </is>
      </c>
      <c r="C23" s="126" t="inlineStr">
        <is>
          <t>docs/roadmap/RevisionGrade_System_Ledger_CURRENT.xlsx</t>
        </is>
      </c>
      <c r="D23" s="126" t="inlineStr">
        <is>
          <t>Markdown/CSV mirrors archived; README pointer only.</t>
        </is>
      </c>
      <c r="E23" s="126" t="inlineStr">
        <is>
          <t>READY_FOR_REPO</t>
        </is>
      </c>
      <c r="F23" s="126" t="n"/>
    </row>
    <row r="24">
      <c r="A24" s="210" t="inlineStr">
        <is>
          <t>Generic advice without evidence anchors must fail or downgrade</t>
        </is>
      </c>
      <c r="B24" s="210" t="inlineStr">
        <is>
          <t>PENDING</t>
        </is>
      </c>
      <c r="C24" s="210" t="inlineStr">
        <is>
          <t>YES</t>
        </is>
      </c>
      <c r="D24" s="210" t="inlineStr">
        <is>
          <t>qualityGate.ts / runPass3Synthesis.ts / report finalizer</t>
        </is>
      </c>
      <c r="E24" s="210" t="inlineStr">
        <is>
          <t>PV115 generic recommendation fixture</t>
        </is>
      </c>
      <c r="F24" s="210" t="inlineStr">
        <is>
          <t>RCA-EVAL-QUALITY-001; examples include 70/30 ratio, missing-persons poster/report, generic comps.</t>
        </is>
      </c>
    </row>
    <row r="25">
      <c r="A25" s="210" t="inlineStr">
        <is>
          <t>Confidence must control output authority, not merely label it</t>
        </is>
      </c>
      <c r="B25" s="210" t="inlineStr">
        <is>
          <t>PENDING</t>
        </is>
      </c>
      <c r="C25" s="210" t="inlineStr">
        <is>
          <t>YES</t>
        </is>
      </c>
      <c r="D25" s="210" t="inlineStr">
        <is>
          <t>qualityGate.ts / warningClassification.ts / components/report/*</t>
        </is>
      </c>
      <c r="E25" s="210" t="inlineStr">
        <is>
          <t>confidence-authority mismatch test</t>
        </is>
      </c>
      <c r="F25" s="210" t="inlineStr">
        <is>
          <t>RCA-EVAL-QUALITY-002 / RCA-U2-001.</t>
        </is>
      </c>
    </row>
    <row r="26">
      <c r="A26" s="210" t="inlineStr">
        <is>
          <t>Compressed synthesis cannot create unsupported tactical prescriptions</t>
        </is>
      </c>
      <c r="B26" s="210" t="inlineStr">
        <is>
          <t>PENDING</t>
        </is>
      </c>
      <c r="C26" s="210" t="inlineStr">
        <is>
          <t>YES</t>
        </is>
      </c>
      <c r="D26" s="210" t="inlineStr">
        <is>
          <t>runPass3Synthesis.ts / pass3-synthesis.ts / qualityGate.ts</t>
        </is>
      </c>
      <c r="E26" s="210" t="inlineStr">
        <is>
          <t>Pass3 compression anti-washing test</t>
        </is>
      </c>
      <c r="F26" s="210" t="inlineStr">
        <is>
          <t>RCA-EVAL-QUALITY-003 / RCA-U2-002.</t>
        </is>
      </c>
    </row>
    <row r="27">
      <c r="A27" s="210" t="inlineStr">
        <is>
          <t>Internal ontology/mechanism language cannot leak to user report</t>
        </is>
      </c>
      <c r="B27" s="210" t="inlineStr">
        <is>
          <t>PENDING</t>
        </is>
      </c>
      <c r="C27" s="210" t="inlineStr">
        <is>
          <t>YES</t>
        </is>
      </c>
      <c r="D27" s="210" t="inlineStr">
        <is>
          <t>finalizer/report adapter / components/report/*</t>
        </is>
      </c>
      <c r="E27" s="210" t="inlineStr">
        <is>
          <t>output boundary leakage test</t>
        </is>
      </c>
      <c r="F27" s="210" t="inlineStr">
        <is>
          <t>RCA-EVAL-QUALITY-004.</t>
        </is>
      </c>
    </row>
    <row r="28">
      <c r="A28" s="210" t="inlineStr">
        <is>
          <t>Every recommendation must trace evidence → mechanism → action</t>
        </is>
      </c>
      <c r="B28" s="210" t="inlineStr">
        <is>
          <t>PENDING</t>
        </is>
      </c>
      <c r="C28" s="210" t="inlineStr">
        <is>
          <t>YES</t>
        </is>
      </c>
      <c r="D28" s="210" t="inlineStr">
        <is>
          <t>runPass2.ts / runPass3Synthesis.ts / qualityGate.ts</t>
        </is>
      </c>
      <c r="E28" s="210" t="inlineStr">
        <is>
          <t>traceability fixture</t>
        </is>
      </c>
      <c r="F28" s="210" t="inlineStr">
        <is>
          <t>RCA-EVAL-QUALITY-005 / RCA-U2-006.</t>
        </is>
      </c>
    </row>
    <row r="29">
      <c r="A29" s="210" t="inlineStr">
        <is>
          <t>Pass1 o3 reasoning budget must leave content budget</t>
        </is>
      </c>
      <c r="B29" s="210" t="inlineStr">
        <is>
          <t>OPEN</t>
        </is>
      </c>
      <c r="C29" s="210" t="inlineStr">
        <is>
          <t>YES</t>
        </is>
      </c>
      <c r="D29" s="210" t="inlineStr">
        <is>
          <t>runPass1.ts / OpenAI call wrapper / config</t>
        </is>
      </c>
      <c r="E29" s="210" t="inlineStr">
        <is>
          <t>finish_reason=length empty-output regression</t>
        </is>
      </c>
      <c r="F29" s="210" t="inlineStr">
        <is>
          <t>RCA-PASS1-TOKEN-001; job 6abcc20c evidence.</t>
        </is>
      </c>
    </row>
  </sheetData>
  <conditionalFormatting sqref="B2:B13">
    <cfRule type="expression" priority="2" dxfId="28">
      <formula>$B2="ENFORCED"</formula>
    </cfRule>
    <cfRule type="expression" priority="3" dxfId="27">
      <formula>$B2="OBSERVED"</formula>
    </cfRule>
    <cfRule type="expression" priority="4" dxfId="26">
      <formula>$B2="NONE"</formula>
    </cfRule>
    <cfRule type="cellIs" priority="5" operator="equal" dxfId="6">
      <formula>"ENFORCED"</formula>
    </cfRule>
    <cfRule type="cellIs" priority="6" operator="equal" dxfId="24">
      <formula>"OBSERVED"</formula>
    </cfRule>
    <cfRule type="cellIs" priority="7" operator="equal" dxfId="15">
      <formula>"NONE"</formula>
    </cfRule>
  </conditionalFormatting>
  <conditionalFormatting sqref="B3:B15">
    <cfRule type="containsText" priority="10" operator="containsText" dxfId="6" text="ENFORCED"/>
    <cfRule type="containsText" priority="11" operator="containsText" dxfId="5" text="STRUCTURAL"/>
    <cfRule type="containsText" priority="12" operator="containsText" dxfId="2" text="EMPIRICAL PENDING"/>
    <cfRule type="containsText" priority="13" operator="containsText" dxfId="3" text="OPEN"/>
    <cfRule type="containsText" priority="14" operator="containsText" dxfId="2" text="PENDING"/>
    <cfRule type="containsText" priority="15" operator="containsText" dxfId="1" text="NONE"/>
    <cfRule type="containsText" priority="16" operator="containsText" dxfId="0" text="OBSERVED"/>
  </conditionalFormatting>
  <conditionalFormatting sqref="C2:C13">
    <cfRule type="cellIs" priority="8" operator="equal" dxfId="15">
      <formula>"YES"</formula>
    </cfRule>
    <cfRule type="cellIs" priority="9" operator="equal" dxfId="6">
      <formula>"NO"</formula>
    </cfRule>
  </conditionalFormatting>
  <dataValidations count="2">
    <dataValidation sqref="B2:B13" showDropDown="0" showInputMessage="0" showErrorMessage="0" allowBlank="0" type="list">
      <formula1>"NONE,OBSERVED,ENFORCED"</formula1>
      <formula2>0</formula2>
    </dataValidation>
    <dataValidation sqref="C2:C13" showDropDown="0" showInputMessage="0" showErrorMessage="0" allowBlank="0" type="list">
      <formula1>"YES,NO"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</cols>
  <sheetData>
    <row r="1" ht="17.08984375" customHeight="1" s="213">
      <c r="A1" s="290" t="inlineStr">
        <is>
          <t>Source</t>
        </is>
      </c>
      <c r="B1" s="276" t="inlineStr">
        <is>
          <t>Type</t>
        </is>
      </c>
      <c r="C1" s="276" t="inlineStr">
        <is>
          <t>Use In This Workbook</t>
        </is>
      </c>
      <c r="D1" s="276" t="inlineStr">
        <is>
          <t>Status</t>
        </is>
      </c>
      <c r="E1" s="277" t="inlineStr">
        <is>
          <t>Notes</t>
        </is>
      </c>
    </row>
    <row r="2" ht="14.39999961853027" customHeight="1" s="213">
      <c r="A2" s="285" t="inlineStr">
        <is>
          <t>PR #240</t>
        </is>
      </c>
      <c r="B2" s="286" t="inlineStr">
        <is>
          <t>GitHub PR</t>
        </is>
      </c>
      <c r="C2" s="286" t="inlineStr">
        <is>
          <t>Step 1.5 persistence boundary/U1 Audit boundary scope</t>
        </is>
      </c>
      <c r="D2" s="286" t="inlineStr">
        <is>
          <t>Merged</t>
        </is>
      </c>
      <c r="E2" s="270" t="inlineStr">
        <is>
          <t>Merge ab611810; boundary suite 4/4.</t>
        </is>
      </c>
    </row>
    <row r="3" ht="14.39999961853027" customHeight="1" s="213">
      <c r="A3" s="133" t="inlineStr">
        <is>
          <t>PR #241</t>
        </is>
      </c>
      <c r="B3" s="134" t="inlineStr">
        <is>
          <t>GitHub PR</t>
        </is>
      </c>
      <c r="C3" s="134" t="inlineStr">
        <is>
          <t>Atomic RPC migration</t>
        </is>
      </c>
      <c r="D3" s="134" t="inlineStr">
        <is>
          <t>Merged</t>
        </is>
      </c>
      <c r="E3" s="135" t="inlineStr">
        <is>
          <t>persist_evaluation_v2_atomic created.</t>
        </is>
      </c>
    </row>
    <row r="4" ht="14.39999961853027" customHeight="1" s="213">
      <c r="A4" s="136" t="inlineStr">
        <is>
          <t>PR #242</t>
        </is>
      </c>
      <c r="B4" s="137" t="inlineStr">
        <is>
          <t>GitHub PR</t>
        </is>
      </c>
      <c r="C4" s="137" t="inlineStr">
        <is>
          <t>Boundary success path switched to atomic RPC</t>
        </is>
      </c>
      <c r="D4" s="137" t="inlineStr">
        <is>
          <t>Merged</t>
        </is>
      </c>
      <c r="E4" s="138" t="inlineStr">
        <is>
          <t>Sequential write path removed.</t>
        </is>
      </c>
    </row>
    <row r="5" ht="14.39999961853027" customHeight="1" s="213">
      <c r="A5" s="136" t="inlineStr">
        <is>
          <t>PR #243</t>
        </is>
      </c>
      <c r="B5" s="137" t="inlineStr">
        <is>
          <t>GitHub PR</t>
        </is>
      </c>
      <c r="C5" s="137" t="inlineStr">
        <is>
          <t>Atomic RPC ambiguity hotfix source alignment</t>
        </is>
      </c>
      <c r="D5" s="137" t="inlineStr">
        <is>
          <t>Merged</t>
        </is>
      </c>
      <c r="E5" s="138" t="inlineStr">
        <is>
          <t>Fix for column reference job_id ambiguity.</t>
        </is>
      </c>
    </row>
    <row r="6" ht="14.39999961853027" customHeight="1" s="213">
      <c r="A6" s="136" t="inlineStr">
        <is>
          <t>PR #245</t>
        </is>
      </c>
      <c r="B6" s="137" t="inlineStr">
        <is>
          <t>GitHub PR</t>
        </is>
      </c>
      <c r="C6" s="137" t="inlineStr">
        <is>
          <t>Dialogue Attribution Gate V2</t>
        </is>
      </c>
      <c r="D6" s="137" t="inlineStr">
        <is>
          <t>Merged / gate-level enforced</t>
        </is>
      </c>
      <c r="E6" s="138" t="inlineStr">
        <is>
          <t>Diagnostic-grounded gate; local + reachable runtime proof.</t>
        </is>
      </c>
    </row>
    <row r="7" ht="14.39999961853027" customHeight="1" s="213">
      <c r="A7" s="136" t="inlineStr">
        <is>
          <t>Job 29089ed6-0fc7-485b-a699-56498b950295</t>
        </is>
      </c>
      <c r="B7" s="137" t="inlineStr">
        <is>
          <t>Supabase evaluation_jobs</t>
        </is>
      </c>
      <c r="C7" s="137" t="inlineStr">
        <is>
          <t>Atomic production success-path proof</t>
        </is>
      </c>
      <c r="D7" s="137" t="inlineStr">
        <is>
          <t>Complete</t>
        </is>
      </c>
      <c r="E7" s="138" t="inlineStr">
        <is>
          <t>status complete, phase_2, gate_enforcement PASS.</t>
        </is>
      </c>
    </row>
    <row r="8" ht="14.39999961853027" customHeight="1" s="213">
      <c r="A8" s="136" t="inlineStr">
        <is>
          <t>Artifact af699bd8-1618-4971-a097-b4345f3e7733</t>
        </is>
      </c>
      <c r="B8" s="137" t="inlineStr">
        <is>
          <t>Supabase evaluation_artifacts</t>
        </is>
      </c>
      <c r="C8" s="137" t="inlineStr">
        <is>
          <t>Atomic artifact proof</t>
        </is>
      </c>
      <c r="D8" s="137" t="inlineStr">
        <is>
          <t>Persisted</t>
        </is>
      </c>
      <c r="E8" s="138" t="inlineStr">
        <is>
          <t>artifact_type/version evaluation_result_v2.</t>
        </is>
      </c>
    </row>
    <row r="9" ht="14.39999961853027" customHeight="1" s="213">
      <c r="A9" s="136" t="inlineStr">
        <is>
          <t>100k soak run 2026-04-26T21-32-48-713Z</t>
        </is>
      </c>
      <c r="B9" s="137" t="inlineStr">
        <is>
          <t>Evidence artifact</t>
        </is>
      </c>
      <c r="C9" s="137" t="inlineStr">
        <is>
          <t>Reliability gate proof</t>
        </is>
      </c>
      <c r="D9" s="137" t="inlineStr">
        <is>
          <t>Pass</t>
        </is>
      </c>
      <c r="E9" s="138" t="inlineStr">
        <is>
          <t>100000 events, 0 lost/wrong/unclassified.</t>
        </is>
      </c>
    </row>
    <row r="10" ht="14.39999961853027" customHeight="1" s="213">
      <c r="A10" s="136" t="inlineStr">
        <is>
          <t>Job 40b377de-30af-4b86-9594-aceda2a5b4ba</t>
        </is>
      </c>
      <c r="B10" s="137" t="inlineStr">
        <is>
          <t>Supabase evaluation_jobs</t>
        </is>
      </c>
      <c r="C10" s="137" t="inlineStr">
        <is>
          <t>Post-fix QG envelope proof</t>
        </is>
      </c>
      <c r="D10" s="137" t="inlineStr">
        <is>
          <t>Failure with envelope</t>
        </is>
      </c>
      <c r="E10" s="138" t="inlineStr">
        <is>
          <t>failed_at/pass4 and pipeline_stage/pass4; diagnostics null.</t>
        </is>
      </c>
    </row>
    <row r="11" ht="14.39999961853027" customHeight="1" s="213">
      <c r="A11" s="136" t="inlineStr">
        <is>
          <t>Jobs 5a413a7f / 3ef78daf</t>
        </is>
      </c>
      <c r="B11" s="137" t="inlineStr">
        <is>
          <t>Supabase evaluation_jobs</t>
        </is>
      </c>
      <c r="C11" s="137" t="inlineStr">
        <is>
          <t>Pre-fix no-envelope baseline</t>
        </is>
      </c>
      <c r="D11" s="137" t="inlineStr">
        <is>
          <t>Historical</t>
        </is>
      </c>
      <c r="E11" s="138" t="inlineStr">
        <is>
          <t>Do not use against current envelope work.</t>
        </is>
      </c>
    </row>
    <row r="12" ht="14.39999961853027" customHeight="1" s="213">
      <c r="A12" s="136" t="inlineStr">
        <is>
          <t>Manuscript 5907 calibration</t>
        </is>
      </c>
      <c r="B12" s="137" t="inlineStr">
        <is>
          <t>Production calibration</t>
        </is>
      </c>
      <c r="C12" s="137" t="inlineStr">
        <is>
          <t>Dialogue gate reachability / upstream blocker proof</t>
        </is>
      </c>
      <c r="D12" s="137" t="inlineStr">
        <is>
          <t>Executed / non-deterministic</t>
        </is>
      </c>
      <c r="E12" s="138" t="inlineStr">
        <is>
          <t>2 complete, 2 PASS1_FAILED, 1 LLR_POST_STRUCTURAL_BLOCK.</t>
        </is>
      </c>
    </row>
    <row r="13" ht="14.39999961853027" customHeight="1" s="213">
      <c r="A13" s="136" t="inlineStr">
        <is>
          <t>7-day failure query</t>
        </is>
      </c>
      <c r="B13" s="137" t="inlineStr">
        <is>
          <t>DB empirical query</t>
        </is>
      </c>
      <c r="C13" s="137" t="inlineStr">
        <is>
          <t>PASS1/LLR baseline</t>
        </is>
      </c>
      <c r="D13" s="137" t="inlineStr">
        <is>
          <t>Current baseline</t>
        </is>
      </c>
      <c r="E13" s="138" t="inlineStr">
        <is>
          <t>PASS1_FAILED=6, LLR_POST_STRUCTURAL_BLOCK=2.</t>
        </is>
      </c>
    </row>
    <row r="14" ht="14.39999961853027" customHeight="1" s="213">
      <c r="A14" s="136" t="inlineStr">
        <is>
          <t>Evaluation No. 3 PV115 Final V3 critique</t>
        </is>
      </c>
      <c r="B14" s="137" t="inlineStr">
        <is>
          <t>Evaluation review</t>
        </is>
      </c>
      <c r="C14" s="137" t="inlineStr">
        <is>
          <t>U2 fidelity/propagation diagnosis</t>
        </is>
      </c>
      <c r="D14" s="137" t="inlineStr">
        <is>
          <t>Accepted as planning input</t>
        </is>
      </c>
      <c r="E14" s="138" t="inlineStr">
        <is>
          <t>Used to define PV115 golden fixture and U2 scope.</t>
        </is>
      </c>
    </row>
    <row r="15" ht="14.39999961853027" customHeight="1" s="213">
      <c r="A15" s="136" t="inlineStr">
        <is>
          <t>RevisionGrade canon / NOMENCLATURE / job contract</t>
        </is>
      </c>
      <c r="B15" s="137" t="inlineStr">
        <is>
          <t>Docs</t>
        </is>
      </c>
      <c r="C15" s="137" t="inlineStr">
        <is>
          <t>Criteria count and lifecycle status contracts</t>
        </is>
      </c>
      <c r="D15" s="137" t="inlineStr">
        <is>
          <t>Binding</t>
        </is>
      </c>
      <c r="E15" s="138" t="inlineStr">
        <is>
          <t>13 criteria; statuses queued/running/complete/failed.</t>
        </is>
      </c>
    </row>
    <row r="16" ht="14.39999961853027" customHeight="1" s="213">
      <c r="A16" s="139" t="inlineStr">
        <is>
          <t>This chat session</t>
        </is>
      </c>
      <c r="B16" s="140" t="inlineStr">
        <is>
          <t>Conversation</t>
        </is>
      </c>
      <c r="C16" s="140" t="inlineStr">
        <is>
          <t>Completed/partial/pending session truth</t>
        </is>
      </c>
      <c r="D16" s="140" t="inlineStr">
        <is>
          <t>Current source</t>
        </is>
      </c>
      <c r="E16" s="141" t="inlineStr">
        <is>
          <t>Use workbook as persistent state after export.</t>
        </is>
      </c>
    </row>
    <row r="17" ht="14.39999961853027" customHeight="1" s="213">
      <c r="A17" s="126" t="inlineStr">
        <is>
          <t>Local-vs-remote U2 verification</t>
        </is>
      </c>
      <c r="B17" s="126" t="inlineStr">
        <is>
          <t>Repo/workspace assessment</t>
        </is>
      </c>
      <c r="C17" s="126" t="inlineStr">
        <is>
          <t>U2-003/U2-006 closure status</t>
        </is>
      </c>
      <c r="D17" s="126" t="inlineStr">
        <is>
          <t>Current</t>
        </is>
      </c>
      <c r="E17" s="126" t="inlineStr">
        <is>
          <t>Local workspace edits/tests exist, but remote branch/proof path is not sufficient to mark RESOLVED; use PARTIAL until commit/push + live proof.</t>
        </is>
      </c>
    </row>
    <row r="18" ht="14.39999961853027" customHeight="1" s="213">
      <c r="A18" s="126" t="inlineStr">
        <is>
          <t>Branch feat/u2-propagation-enforcement @ 35f933a</t>
        </is>
      </c>
      <c r="B18" s="126" t="inlineStr">
        <is>
          <t>GitHub branch check</t>
        </is>
      </c>
      <c r="C18" s="126" t="inlineStr">
        <is>
          <t>Remote truth check</t>
        </is>
      </c>
      <c r="D18" s="126" t="inlineStr">
        <is>
          <t>Current</t>
        </is>
      </c>
      <c r="E18" s="126" t="inlineStr">
        <is>
          <t>Remote branch was 1 commit ahead of main; changed files did not include runPass2.anchor-enforcement.test.ts / NO_TEXTUAL_ANCHOR at last remote check.</t>
        </is>
      </c>
    </row>
    <row r="19" ht="14.39999961853027" customHeight="1" s="213">
      <c r="A19" s="126" t="inlineStr">
        <is>
          <t>ROADMAP.md</t>
        </is>
      </c>
      <c r="B19" s="126" t="inlineStr">
        <is>
          <t>Repo markdown roadmap</t>
        </is>
      </c>
      <c r="C19" s="126" t="inlineStr">
        <is>
          <t>Roadmap contract status</t>
        </is>
      </c>
      <c r="D19" s="126" t="inlineStr">
        <is>
          <t>STALE / NEEDS UPDATE</t>
        </is>
      </c>
      <c r="E19" s="126" t="inlineStr">
        <is>
          <t>Still describes older Step 0/1/1.5 contract and does not reflect RCA-led U2 Batch 2, boundary live proof closure, or U2-003/U2-006 partial status.</t>
        </is>
      </c>
    </row>
    <row r="20" ht="14.39999961853027" customHeight="1" s="213">
      <c r="A20" s="126" t="inlineStr">
        <is>
          <t>Commit 8ecdde70</t>
        </is>
      </c>
      <c r="B20" s="126" t="inlineStr">
        <is>
          <t>GitHub commit</t>
        </is>
      </c>
      <c r="C20" s="126" t="inlineStr">
        <is>
          <t>U2-003/U2-006 remote implementation proof</t>
        </is>
      </c>
      <c r="D20" s="126" t="inlineStr">
        <is>
          <t>Pushed</t>
        </is>
      </c>
      <c r="E20" s="126" t="inlineStr">
        <is>
          <t>feat(u2): enforce deterministic confidence and anchor validation; adds runPipeline/runPass2/types/test surfaces.</t>
        </is>
      </c>
    </row>
    <row r="21" ht="14.39999961853027" customHeight="1" s="213">
      <c r="A21" s="126" t="inlineStr">
        <is>
          <t>Commit ca12ade4</t>
        </is>
      </c>
      <c r="B21" s="126" t="inlineStr">
        <is>
          <t>GitHub commit</t>
        </is>
      </c>
      <c r="C21" s="126" t="inlineStr">
        <is>
          <t>ROADMAP.md status precision update</t>
        </is>
      </c>
      <c r="D21" s="126" t="inlineStr">
        <is>
          <t>Pushed</t>
        </is>
      </c>
      <c r="E21" s="126" t="inlineStr">
        <is>
          <t>docs(roadmap): update U2 status after remote implementation push; records PARTIAL REMOTE IMPLEMENTATION / LIVE_PROOF_PENDING.</t>
        </is>
      </c>
    </row>
    <row r="22" ht="14.39999961853027" customHeight="1" s="213">
      <c r="A22" s="126" t="inlineStr">
        <is>
          <t>Phase 2E evidence logs</t>
        </is>
      </c>
      <c r="B22" s="126" t="inlineStr">
        <is>
          <t>Evidence logs</t>
        </is>
      </c>
      <c r="C22" s="126" t="inlineStr">
        <is>
          <t>Not valid for U2 RCA closure</t>
        </is>
      </c>
      <c r="D22" s="126" t="inlineStr">
        <is>
          <t>Do not use for U2 closure</t>
        </is>
      </c>
      <c r="E22" s="126" t="inlineStr">
        <is>
          <t>Phase 2E/RLS evidence may remain a separate proof class; not closure evidence for U2-003/U2-006.</t>
        </is>
      </c>
    </row>
    <row r="23">
      <c r="A23" s="126" t="n"/>
      <c r="B23" s="126" t="n"/>
      <c r="C23" s="126" t="n"/>
      <c r="D23" s="126" t="n"/>
      <c r="E23" s="126" t="n"/>
    </row>
    <row r="24">
      <c r="A24" s="126" t="inlineStr">
        <is>
          <t>Source ID</t>
        </is>
      </c>
      <c r="B24" s="126" t="inlineStr">
        <is>
          <t>Source</t>
        </is>
      </c>
      <c r="C24" s="126" t="inlineStr">
        <is>
          <t>Type</t>
        </is>
      </c>
      <c r="D24" s="126" t="inlineStr">
        <is>
          <t>Use</t>
        </is>
      </c>
      <c r="E24" s="126" t="inlineStr">
        <is>
          <t>Status</t>
        </is>
      </c>
    </row>
    <row r="25">
      <c r="A25" s="126" t="inlineStr">
        <is>
          <t>SRC-001</t>
        </is>
      </c>
      <c r="B25" s="126" t="inlineStr">
        <is>
          <t>Current user prompt</t>
        </is>
      </c>
      <c r="C25" s="126" t="inlineStr">
        <is>
          <t>Conversation</t>
        </is>
      </c>
      <c r="D25" s="126" t="inlineStr">
        <is>
          <t>ProcessEnv typing fix + workbook/repo consolidation directive</t>
        </is>
      </c>
      <c r="E25" s="126" t="inlineStr">
        <is>
          <t>Current</t>
        </is>
      </c>
    </row>
    <row r="26">
      <c r="A26" s="126" t="inlineStr">
        <is>
          <t>SRC-002</t>
        </is>
      </c>
      <c r="B26" s="126" t="inlineStr">
        <is>
          <t>Pasted text(1217).txt</t>
        </is>
      </c>
      <c r="C26" s="126" t="inlineStr">
        <is>
          <t>TXT</t>
        </is>
      </c>
      <c r="D26" s="126" t="inlineStr">
        <is>
          <t>RCA-EVAL-QUALITY-001 and quality-as-enforcement framing</t>
        </is>
      </c>
      <c r="E26" s="126" t="inlineStr">
        <is>
          <t>Current</t>
        </is>
      </c>
    </row>
    <row r="27">
      <c r="A27" s="126" t="inlineStr">
        <is>
          <t>SRC-003</t>
        </is>
      </c>
      <c r="B27" s="126" t="inlineStr">
        <is>
          <t>Pasted text (2)/(3)</t>
        </is>
      </c>
      <c r="C27" s="126" t="inlineStr">
        <is>
          <t>TXT</t>
        </is>
      </c>
      <c r="D27" s="126" t="inlineStr">
        <is>
          <t>Volume IV U-layer doctrine and proof requirements</t>
        </is>
      </c>
      <c r="E27" s="126" t="inlineStr">
        <is>
          <t>Current</t>
        </is>
      </c>
    </row>
    <row r="28">
      <c r="A28" s="126" t="inlineStr">
        <is>
          <t>SRC-004</t>
        </is>
      </c>
      <c r="B28" s="126" t="inlineStr">
        <is>
          <t>Pasted text (4)</t>
        </is>
      </c>
      <c r="C28" s="126" t="inlineStr">
        <is>
          <t>TXT</t>
        </is>
      </c>
      <c r="D28" s="126" t="inlineStr">
        <is>
          <t>PV115 completed run + quality failure evidence</t>
        </is>
      </c>
      <c r="E28" s="126" t="inlineStr">
        <is>
          <t>Current</t>
        </is>
      </c>
    </row>
    <row r="29">
      <c r="A29" s="126" t="inlineStr">
        <is>
          <t>SRC-005</t>
        </is>
      </c>
      <c r="B29" s="126" t="inlineStr">
        <is>
          <t>Pasted markdown (5).md</t>
        </is>
      </c>
      <c r="C29" s="126" t="inlineStr">
        <is>
          <t>MD</t>
        </is>
      </c>
      <c r="D29" s="126" t="inlineStr">
        <is>
          <t>RCA-JOB-LIFECYCLE-001 PR package</t>
        </is>
      </c>
      <c r="E29" s="126" t="inlineStr">
        <is>
          <t>Current</t>
        </is>
      </c>
    </row>
    <row r="30">
      <c r="A30" s="126" t="inlineStr">
        <is>
          <t>SRC-006</t>
        </is>
      </c>
      <c r="B30" s="126" t="inlineStr">
        <is>
          <t>Repo ROADMAP.md</t>
        </is>
      </c>
      <c r="C30" s="126" t="inlineStr">
        <is>
          <t>GitHub</t>
        </is>
      </c>
      <c r="D30" s="126" t="inlineStr">
        <is>
          <t>Current repo roadmap baseline: U2 partial, U3 blocked, boundary proof closed</t>
        </is>
      </c>
      <c r="E30" s="126" t="inlineStr">
        <is>
          <t>Current</t>
        </is>
      </c>
    </row>
    <row r="31">
      <c r="A31" s="126" t="inlineStr">
        <is>
          <t>SRC-007</t>
        </is>
      </c>
      <c r="B31" s="126" t="inlineStr">
        <is>
          <t>Screenshot</t>
        </is>
      </c>
      <c r="C31" s="126" t="inlineStr">
        <is>
          <t>Image</t>
        </is>
      </c>
      <c r="D31" s="126" t="inlineStr">
        <is>
          <t>Identified docs/roadmap workbook and CSV mirror layout in Codespaces</t>
        </is>
      </c>
      <c r="E31" s="126" t="inlineStr">
        <is>
          <t>Current</t>
        </is>
      </c>
    </row>
    <row r="32">
      <c r="A32" s="284" t="inlineStr">
        <is>
          <t>Uploaded evidence: PV115 Evaluation No.5 / quality critique</t>
        </is>
      </c>
      <c r="B32" s="284" t="inlineStr">
        <is>
          <t>Conversation attachment</t>
        </is>
      </c>
      <c r="C32" s="284" t="inlineStr">
        <is>
          <t>Quality RCA evidence; shows generic recommendations, confidence mismatch, Pass3 compression</t>
        </is>
      </c>
      <c r="D32" s="284" t="inlineStr">
        <is>
          <t>Reviewed / incorporated</t>
        </is>
      </c>
      <c r="E32" s="284" t="inlineStr">
        <is>
          <t>Supports RCA-EVAL-QUALITY-001..003 and QUALITY_STATE=NOT_ENFORCED.</t>
        </is>
      </c>
    </row>
    <row r="33">
      <c r="A33" s="284" t="inlineStr">
        <is>
          <t>Uploaded evidence: Volume IV U-layer doctrine</t>
        </is>
      </c>
      <c r="B33" s="284" t="inlineStr">
        <is>
          <t>Conversation attachment</t>
        </is>
      </c>
      <c r="C33" s="284" t="inlineStr">
        <is>
          <t>Completion and proof rules; U1/U2/U3 order; no completion without live proof</t>
        </is>
      </c>
      <c r="D33" s="284" t="inlineStr">
        <is>
          <t>Reviewed / incorporated</t>
        </is>
      </c>
      <c r="E33" s="284" t="inlineStr">
        <is>
          <t>Supports U2 partial/live-proof pending and U3 blocked.</t>
        </is>
      </c>
    </row>
    <row r="34">
      <c r="A34" s="284" t="inlineStr">
        <is>
          <t>Uploaded evidence: Pass1 o3/5907 runtime failure</t>
        </is>
      </c>
      <c r="B34" s="284" t="inlineStr">
        <is>
          <t>Conversation attachment</t>
        </is>
      </c>
      <c r="C34" s="284" t="inlineStr">
        <is>
          <t>Pass1 budget/model blocker; no artifacts; gate fields null</t>
        </is>
      </c>
      <c r="D34" s="284" t="inlineStr">
        <is>
          <t>Reviewed / incorporated</t>
        </is>
      </c>
      <c r="E34" s="284" t="inlineStr">
        <is>
          <t>Supports RCA-PASS1-TOKEN-001 update and Pass1 first execution order.</t>
        </is>
      </c>
    </row>
    <row r="35">
      <c r="A35" s="284" t="inlineStr">
        <is>
          <t>User prompt: strict ProcessEnv typing fix</t>
        </is>
      </c>
      <c r="B35" s="284" t="inlineStr">
        <is>
          <t>Conversation instruction</t>
        </is>
      </c>
      <c r="C35" s="284" t="inlineStr">
        <is>
          <t>Env contract typing RCA / minimal PR scope</t>
        </is>
      </c>
      <c r="D35" s="284" t="inlineStr">
        <is>
          <t>Reviewed / incorporated</t>
        </is>
      </c>
      <c r="E35" s="284" t="inlineStr">
        <is>
          <t>Supports RCA-ENV-CONTRACT-TYPING-001.</t>
        </is>
      </c>
    </row>
    <row r="36">
      <c r="A36" s="284" t="inlineStr">
        <is>
          <t>Uploaded evidence: merge verification/preamble</t>
        </is>
      </c>
      <c r="B36" s="284" t="inlineStr">
        <is>
          <t>Conversation attachment</t>
        </is>
      </c>
      <c r="C36" s="284" t="inlineStr">
        <is>
          <t>Merge audit and containment requirements</t>
        </is>
      </c>
      <c r="D36" s="284" t="inlineStr">
        <is>
          <t>Reviewed / incorporated</t>
        </is>
      </c>
      <c r="E36" s="284" t="inlineStr">
        <is>
          <t>Preserved MERGE_AUDIT, CONTAINMENT_CHECK, added reconciliation audit.</t>
        </is>
      </c>
    </row>
  </sheetData>
  <conditionalFormatting sqref="D3:D16">
    <cfRule type="containsText" priority="1" operator="containsText" dxfId="6" text="ENFORCED"/>
    <cfRule type="containsText" priority="2" operator="containsText" dxfId="5" text="STRUCTURAL"/>
    <cfRule type="containsText" priority="3" operator="containsText" dxfId="2" text="EMPIRICAL PENDING"/>
    <cfRule type="containsText" priority="4" operator="containsText" dxfId="3" text="OPEN"/>
    <cfRule type="containsText" priority="5" operator="containsText" dxfId="2" text="PENDING"/>
    <cfRule type="containsText" priority="6" operator="containsText" dxfId="1" text="NONE"/>
    <cfRule type="containsText" priority="7" operator="containsText" dxfId="0" text="OBSERVED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</cols>
  <sheetData>
    <row r="1" ht="28.04999923706055" customHeight="1" s="213">
      <c r="A1" s="290" t="inlineStr">
        <is>
          <t>#</t>
        </is>
      </c>
      <c r="B1" s="276" t="inlineStr">
        <is>
          <t>Action Item</t>
        </is>
      </c>
      <c r="C1" s="276" t="inlineStr">
        <is>
          <t>Original Status</t>
        </is>
      </c>
      <c r="D1" s="276" t="inlineStr">
        <is>
          <t>Current Session Reframe</t>
        </is>
      </c>
      <c r="E1" s="276" t="inlineStr">
        <is>
          <t>Current Level</t>
        </is>
      </c>
      <c r="F1" s="276" t="inlineStr">
        <is>
          <t>Where Now</t>
        </is>
      </c>
      <c r="G1" s="276" t="inlineStr">
        <is>
          <t>Success Looks Like</t>
        </is>
      </c>
      <c r="H1" s="277" t="inlineStr">
        <is>
          <t>Superseded By</t>
        </is>
      </c>
    </row>
    <row r="2" ht="31.95000076293945" customHeight="1" s="213">
      <c r="A2" s="285" t="n">
        <v>1</v>
      </c>
      <c r="B2" s="286" t="inlineStr">
        <is>
          <t>Step 0 / persistence boundary</t>
        </is>
      </c>
      <c r="C2" s="286" t="inlineStr">
        <is>
          <t>COMPLETE</t>
        </is>
      </c>
      <c r="D2" s="286" t="inlineStr">
        <is>
          <t>Now actually ENFORCED at boundary scope after PR #240</t>
        </is>
      </c>
      <c r="E2" s="286" t="inlineStr">
        <is>
          <t>ENFORCED</t>
        </is>
      </c>
      <c r="F2" s="286" t="inlineStr">
        <is>
          <t>CURRENT_STATE rows 1–6</t>
        </is>
      </c>
      <c r="G2" s="286" t="inlineStr">
        <is>
          <t>Invalid artifacts cannot persist</t>
        </is>
      </c>
      <c r="H2" s="270" t="inlineStr">
        <is>
          <t>PR #240</t>
        </is>
      </c>
    </row>
    <row r="3" ht="54" customHeight="1" s="213">
      <c r="A3" s="133" t="n">
        <v>2</v>
      </c>
      <c r="B3" s="134" t="inlineStr">
        <is>
          <t>Atomicity hardening</t>
        </is>
      </c>
      <c r="C3" s="134" t="inlineStr">
        <is>
          <t>OPEN/PENDING</t>
        </is>
      </c>
      <c r="D3" s="134" t="inlineStr">
        <is>
          <t>Completed and empirically proven after PR #241–#243</t>
        </is>
      </c>
      <c r="E3" s="134" t="inlineStr">
        <is>
          <t>ENFORCED</t>
        </is>
      </c>
      <c r="F3" s="134" t="inlineStr">
        <is>
          <t>CURRENT_STATE rows 7–10</t>
        </is>
      </c>
      <c r="G3" s="134" t="inlineStr">
        <is>
          <t>Artifact and job completion are all-or-nothing</t>
        </is>
      </c>
      <c r="H3" s="135" t="inlineStr">
        <is>
          <t>Block B Atomicity</t>
        </is>
      </c>
    </row>
    <row r="4" ht="54" customHeight="1" s="213">
      <c r="A4" s="136" t="n">
        <v>3</v>
      </c>
      <c r="B4" s="137" t="inlineStr">
        <is>
          <t>Dialogue Attribution Gate V2</t>
        </is>
      </c>
      <c r="C4" s="137" t="inlineStr">
        <is>
          <t>PR OPEN / TEST VERIFIED</t>
        </is>
      </c>
      <c r="D4" s="137" t="inlineStr">
        <is>
          <t>Gate-level ENFORCED; upstream reachability caveat remains</t>
        </is>
      </c>
      <c r="E4" s="137" t="inlineStr">
        <is>
          <t>ENFORCED — gate-level</t>
        </is>
      </c>
      <c r="F4" s="137" t="inlineStr">
        <is>
          <t>CURRENT_STATE row 15</t>
        </is>
      </c>
      <c r="G4" s="137" t="inlineStr">
        <is>
          <t>No false QG_DIALOGUE_ATTRIBUTION_UNDERAUDITED on reachable runs</t>
        </is>
      </c>
      <c r="H4" s="138" t="inlineStr">
        <is>
          <t>PR #245</t>
        </is>
      </c>
    </row>
    <row r="5" ht="54" customHeight="1" s="213">
      <c r="A5" s="136" t="n">
        <v>4</v>
      </c>
      <c r="B5" s="137" t="inlineStr">
        <is>
          <t>Quality-gate diagnostics</t>
        </is>
      </c>
      <c r="C5" s="137" t="inlineStr">
        <is>
          <t>WIRED LOCALLY</t>
        </is>
      </c>
      <c r="D5" s="137" t="inlineStr">
        <is>
          <t>Structural but fresh empirical diagnostics sample still pending</t>
        </is>
      </c>
      <c r="E5" s="137" t="inlineStr">
        <is>
          <t>STRUCTURAL ENFORCED / EMPIRICAL PENDING</t>
        </is>
      </c>
      <c r="F5" s="137" t="inlineStr">
        <is>
          <t>CURRENT_STATE row 17</t>
        </is>
      </c>
      <c r="G5" s="137" t="inlineStr">
        <is>
          <t>New failed gate row has non-null diagnostics</t>
        </is>
      </c>
      <c r="H5" s="138" t="inlineStr">
        <is>
          <t>Diagnostics proof</t>
        </is>
      </c>
    </row>
    <row r="6" ht="54" customHeight="1" s="213">
      <c r="A6" s="136" t="n">
        <v>5</v>
      </c>
      <c r="B6" s="137" t="inlineStr">
        <is>
          <t>Phase 1 Observability</t>
        </is>
      </c>
      <c r="C6" s="137" t="inlineStr">
        <is>
          <t>NONE</t>
        </is>
      </c>
      <c r="D6" s="137" t="inlineStr">
        <is>
          <t>Separated from U1; mixed/partial until fresh PASS1 proof is locked</t>
        </is>
      </c>
      <c r="E6" s="137" t="inlineStr">
        <is>
          <t>PARTIAL</t>
        </is>
      </c>
      <c r="F6" s="137" t="inlineStr">
        <is>
          <t>CURRENT_STATE row 18</t>
        </is>
      </c>
      <c r="G6" s="137" t="inlineStr">
        <is>
          <t>PASS1/LLR failures emit canonical envelope and useful diagnostics</t>
        </is>
      </c>
      <c r="H6" s="138" t="inlineStr">
        <is>
          <t>PASS1 catch-site work</t>
        </is>
      </c>
    </row>
    <row r="7" ht="54" customHeight="1" s="213">
      <c r="A7" s="136" t="n">
        <v>6</v>
      </c>
      <c r="B7" s="137" t="inlineStr">
        <is>
          <t>Pass 1 token budget</t>
        </is>
      </c>
      <c r="C7" s="137" t="inlineStr">
        <is>
          <t>Not explicit</t>
        </is>
      </c>
      <c r="D7" s="137" t="inlineStr">
        <is>
          <t>Now primary feasibility blocker</t>
        </is>
      </c>
      <c r="E7" s="137" t="inlineStr">
        <is>
          <t>FAILED / OPEN</t>
        </is>
      </c>
      <c r="F7" s="137" t="inlineStr">
        <is>
          <t>CURRENT_STATE row 19</t>
        </is>
      </c>
      <c r="G7" s="137" t="inlineStr">
        <is>
          <t>finish_reason=length eliminated for failing manuscript class</t>
        </is>
      </c>
      <c r="H7" s="138" t="inlineStr">
        <is>
          <t>PASS_1_OUTPUT_FEASIBILITY</t>
        </is>
      </c>
    </row>
    <row r="8" ht="54" customHeight="1" s="213">
      <c r="A8" s="136" t="n">
        <v>7</v>
      </c>
      <c r="B8" s="137" t="inlineStr">
        <is>
          <t>U2 propagation</t>
        </is>
      </c>
      <c r="C8" s="137" t="inlineStr">
        <is>
          <t>PENDING</t>
        </is>
      </c>
      <c r="D8" s="137" t="inlineStr">
        <is>
          <t>Now the next mandatory block</t>
        </is>
      </c>
      <c r="E8" s="137" t="inlineStr">
        <is>
          <t>PENDING</t>
        </is>
      </c>
      <c r="F8" s="137" t="inlineStr">
        <is>
          <t>EXECUTION_BLOCK rows 1–7</t>
        </is>
      </c>
      <c r="G8" s="137" t="inlineStr">
        <is>
          <t>Evidence controls confidence/score/summary/UI</t>
        </is>
      </c>
      <c r="H8" s="138" t="inlineStr">
        <is>
          <t>U2 PR</t>
        </is>
      </c>
    </row>
    <row r="9" ht="54" customHeight="1" s="213">
      <c r="A9" s="136" t="n">
        <v>8</v>
      </c>
      <c r="B9" s="137" t="inlineStr">
        <is>
          <t>Prompt reasoning depth</t>
        </is>
      </c>
      <c r="C9" s="137" t="inlineStr">
        <is>
          <t>PENDING</t>
        </is>
      </c>
      <c r="D9" s="137" t="inlineStr">
        <is>
          <t>Important but intentionally post-U2</t>
        </is>
      </c>
      <c r="E9" s="137" t="inlineStr">
        <is>
          <t>PENDING</t>
        </is>
      </c>
      <c r="F9" s="137" t="inlineStr">
        <is>
          <t>ROADMAP_LANES</t>
        </is>
      </c>
      <c r="G9" s="137" t="inlineStr">
        <is>
          <t>Prompts look for meta-fiction/parallel/dogs/withholding/cultural texture</t>
        </is>
      </c>
      <c r="H9" s="138" t="inlineStr">
        <is>
          <t>Prompt depth PR after U2</t>
        </is>
      </c>
    </row>
    <row r="10" ht="54" customHeight="1" s="213">
      <c r="A10" s="139" t="n">
        <v>9</v>
      </c>
      <c r="B10" s="140" t="inlineStr">
        <is>
          <t>U3 contradiction detection</t>
        </is>
      </c>
      <c r="C10" s="140" t="inlineStr">
        <is>
          <t>PENDING</t>
        </is>
      </c>
      <c r="D10" s="140" t="inlineStr">
        <is>
          <t>Still pending after U2</t>
        </is>
      </c>
      <c r="E10" s="140" t="inlineStr">
        <is>
          <t>PENDING</t>
        </is>
      </c>
      <c r="F10" s="140" t="inlineStr">
        <is>
          <t>U_GATES_ENFORCEMENT</t>
        </is>
      </c>
      <c r="G10" s="140" t="inlineStr">
        <is>
          <t>Contradictions cannot pass clean/high</t>
        </is>
      </c>
      <c r="H10" s="141" t="inlineStr">
        <is>
          <t>Gate 15.2</t>
        </is>
      </c>
    </row>
    <row r="11" ht="33.75" customHeight="1" s="213"/>
    <row r="12" ht="33.75" customHeight="1" s="213"/>
    <row r="13" ht="33.75" customHeight="1" s="213"/>
    <row r="14" ht="33.75" customHeight="1" s="213"/>
    <row r="15" ht="33.75" customHeight="1" s="213"/>
    <row r="16" ht="33.75" customHeight="1" s="213"/>
    <row r="17" ht="33.75" customHeight="1" s="213"/>
    <row r="18" ht="33.75" customHeight="1" s="213"/>
    <row r="19" ht="33.75" customHeight="1" s="213"/>
    <row r="20" ht="33.75" customHeight="1" s="213"/>
    <row r="21" ht="52.04999923706055" customHeight="1" s="213"/>
    <row r="22" ht="52.04999923706055" customHeight="1" s="213"/>
  </sheetData>
  <conditionalFormatting sqref="E3:E10">
    <cfRule type="containsText" priority="1" operator="containsText" dxfId="6" text="ENFORCED"/>
    <cfRule type="containsText" priority="2" operator="containsText" dxfId="5" text="STRUCTURAL"/>
    <cfRule type="containsText" priority="3" operator="containsText" dxfId="2" text="EMPIRICAL PENDING"/>
    <cfRule type="containsText" priority="4" operator="containsText" dxfId="3" text="OPEN"/>
    <cfRule type="containsText" priority="5" operator="containsText" dxfId="2" text="PENDING"/>
    <cfRule type="containsText" priority="6" operator="containsText" dxfId="1" text="NONE"/>
    <cfRule type="containsText" priority="7" operator="containsText" dxfId="0" text="OBSERVED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  <col width="18" customWidth="1" style="213" min="12" max="12"/>
    <col width="64.70999908447266" customWidth="1" style="213" min="13" max="13"/>
    <col width="177.5700073242188" customWidth="1" style="213" min="14" max="14"/>
    <col width="12.14000034332275" customWidth="1" style="213" min="15" max="15"/>
    <col width="255" customWidth="1" style="213" min="16" max="16"/>
    <col width="73.86000061035156" customWidth="1" style="213" min="17" max="17"/>
    <col width="12.14000034332275" customWidth="1" style="213" min="18" max="18"/>
    <col width="139.2899932861328" customWidth="1" style="213" min="19" max="19"/>
    <col width="15" customWidth="1" style="213" min="20" max="20"/>
    <col width="48" customWidth="1" style="213" min="22" max="22"/>
  </cols>
  <sheetData>
    <row r="1" ht="14.39999961853027" customHeight="1" s="213">
      <c r="A1" s="291" t="inlineStr">
        <is>
          <t>RCA_ID</t>
        </is>
      </c>
      <c r="B1" s="291" t="inlineStr">
        <is>
          <t>ISSUE_KEY</t>
        </is>
      </c>
      <c r="C1" s="291" t="inlineStr">
        <is>
          <t>SYSTEM_AREA</t>
        </is>
      </c>
      <c r="D1" s="291" t="inlineStr">
        <is>
          <t>STAGE</t>
        </is>
      </c>
      <c r="E1" s="291" t="inlineStr">
        <is>
          <t>SYMPTOM</t>
        </is>
      </c>
      <c r="F1" s="291" t="inlineStr">
        <is>
          <t>ROOT_CAUSE</t>
        </is>
      </c>
      <c r="G1" s="291" t="inlineStr">
        <is>
          <t>CAUSE_TYPE</t>
        </is>
      </c>
      <c r="H1" s="291" t="inlineStr">
        <is>
          <t>RULE_STRICTNESS_FLAG</t>
        </is>
      </c>
      <c r="I1" s="291" t="inlineStr">
        <is>
          <t>ENFORCEMENT_VS_CALIBRATION</t>
        </is>
      </c>
      <c r="J1" s="291" t="inlineStr">
        <is>
          <t>IMPACT</t>
        </is>
      </c>
      <c r="K1" s="291" t="inlineStr">
        <is>
          <t>FIX</t>
        </is>
      </c>
      <c r="L1" s="291" t="inlineStr">
        <is>
          <t>FILES_CODE_SURFACE</t>
        </is>
      </c>
      <c r="M1" s="291" t="inlineStr">
        <is>
          <t>E2E_STAGES</t>
        </is>
      </c>
      <c r="N1" s="291" t="inlineStr">
        <is>
          <t>SCRIPTS_PROOF_SURFACE</t>
        </is>
      </c>
      <c r="O1" s="291" t="inlineStr">
        <is>
          <t>STATUS</t>
        </is>
      </c>
      <c r="P1" s="291" t="inlineStr">
        <is>
          <t>EVIDENCE</t>
        </is>
      </c>
      <c r="Q1" s="291" t="inlineStr">
        <is>
          <t>BLOCKED_BY</t>
        </is>
      </c>
      <c r="R1" s="291" t="inlineStr">
        <is>
          <t>LAST_UPDATED</t>
        </is>
      </c>
      <c r="S1" s="291" t="inlineStr">
        <is>
          <t>NEXT_ACTION</t>
        </is>
      </c>
      <c r="T1" s="291" t="inlineStr">
        <is>
          <t>DEPENDS_ON_RCA</t>
        </is>
      </c>
      <c r="U1" s="291" t="n"/>
      <c r="V1" s="291" t="n"/>
    </row>
    <row r="2" ht="14.39999961853027" customHeight="1" s="213">
      <c r="A2" s="122" t="inlineStr">
        <is>
          <t>RCA-PASS1-TOKEN-001</t>
        </is>
      </c>
      <c r="B2" s="122" t="inlineStr">
        <is>
          <t>PASS1_OUTPUT_FEASIBILITY</t>
        </is>
      </c>
      <c r="C2" s="122" t="inlineStr">
        <is>
          <t>Pass1 / OpenAI output budget</t>
        </is>
      </c>
      <c r="D2" s="122" t="inlineStr">
        <is>
          <t>Pass1</t>
        </is>
      </c>
      <c r="E2" s="122" t="inlineStr">
        <is>
          <t>finish_reason=length / empty response; o3 consumed available 1800 output budget in reasoning tokens and emitted no content on PV115/5907 run.</t>
        </is>
      </c>
      <c r="F2" s="122" t="inlineStr">
        <is>
          <t>Pass1 remains vulnerable to output-budget exhaustion; o-series reasoning can spend all max_output_tokens on reasoning, blocking synthesis/governance reachability.</t>
        </is>
      </c>
      <c r="G2" s="122" t="inlineStr">
        <is>
          <t>MODEL_BUDGET_STRATEGY</t>
        </is>
      </c>
      <c r="H2" s="122" t="inlineStr">
        <is>
          <t>HIGH</t>
        </is>
      </c>
      <c r="I2" s="122" t="inlineStr">
        <is>
          <t>ENFORCEMENT</t>
        </is>
      </c>
      <c r="J2" s="122" t="inlineStr">
        <is>
          <t>Blocks live U2 proof because downstream gates/artifacts are not reached.</t>
        </is>
      </c>
      <c r="K2" s="122" t="inlineStr">
        <is>
          <t>No-run strategy first: choose model/budget approach before more evaluations; options include raise max_output_tokens, split model strategy, or move Pass1 to non-reasoning JSON-capable model.</t>
        </is>
      </c>
      <c r="L2" s="122" t="inlineStr">
        <is>
          <t>lib/evaluation/pipeline/runPass1.ts; lib/evaluation/pipeline/prompts/pass1-craft.ts; lib/evaluation/pipeline/runPipeline.ts; lib/llm/jsonParseBoundary.ts; lib/config/evaluationRuntimeConfig.ts</t>
        </is>
      </c>
      <c r="M2" s="122" t="inlineStr">
        <is>
          <t>E2E-04 pass1 + pass2; E2E-10 proof harness</t>
        </is>
      </c>
      <c r="N2" s="122" t="inlineStr">
        <is>
          <t>scripts/pipeline/run-phase2-7-real-run.ts; scripts/e2e-golden-run.sh; scripts/check-e2e-summary.mjs</t>
        </is>
      </c>
      <c r="O2" s="204" t="inlineStr">
        <is>
          <t>OPEN / BLOCKING</t>
        </is>
      </c>
      <c r="P2" s="122" t="inlineStr">
        <is>
          <t>Job 6abcc20c-a4cf-4010-9718-f271de9e363e: clamp active; prompt version pass1-craft-v7-bounded; max_output_tokens=1800; finish_reason=length; contentPreview empty; no artifacts persisted; gate fields null.</t>
        </is>
      </c>
      <c r="Q2" s="122" t="inlineStr">
        <is>
          <t>None; must precede further live validation runs.</t>
        </is>
      </c>
      <c r="R2" s="122" t="inlineStr">
        <is>
          <t>2026-04-28</t>
        </is>
      </c>
      <c r="S2" s="122" t="inlineStr">
        <is>
          <t>Address Finding A conceptually first; do not trigger another evaluation until model/budget strategy is chosen.</t>
        </is>
      </c>
      <c r="T2" s="122" t="n"/>
      <c r="U2" s="122" t="n"/>
      <c r="V2" s="122" t="n"/>
    </row>
    <row r="3" ht="14.39999961853027" customHeight="1" s="213">
      <c r="A3" s="122" t="inlineStr">
        <is>
          <t>RCA-LLR-004-001</t>
        </is>
      </c>
      <c r="B3" s="122" t="inlineStr">
        <is>
          <t>LLR-004</t>
        </is>
      </c>
      <c r="C3" s="122" t="inlineStr">
        <is>
          <t>Pass2 / Lessons Learned</t>
        </is>
      </c>
      <c r="D3" s="122" t="inlineStr">
        <is>
          <t>Pass2 → post_diagnostic</t>
        </is>
      </c>
      <c r="E3" s="122" t="inlineStr">
        <is>
          <t>LLR_POST_DIAGNOSTIC_BLOCK at Pass2; job fails before report and before U2 can be exercised.</t>
        </is>
      </c>
      <c r="F3" s="122" t="inlineStr">
        <is>
          <t>UNKNOWN until inspected: could be invalid model diagnostics, rule strictness/calibration issue, or canon/registry mapping drift.</t>
        </is>
      </c>
      <c r="G3" s="122" t="inlineStr">
        <is>
          <t>AMBIGUOUS</t>
        </is>
      </c>
      <c r="H3" s="122" t="inlineStr">
        <is>
          <t>HIGH</t>
        </is>
      </c>
      <c r="I3" s="122" t="inlineStr">
        <is>
          <t>AMBIGUOUS</t>
        </is>
      </c>
      <c r="J3" s="122" t="inlineStr">
        <is>
          <t>Blocks pipeline before quality gate; can hide whether later governance/UI fixes work; must not be misclassified as only model failure.</t>
        </is>
      </c>
      <c r="K3" s="122" t="inlineStr">
        <is>
          <t>Pull failing Pass2 output; compare line-by-line against ACTIVE_RULES.ts and canon registry; classify subtype before tuning prompt/rule/registry.</t>
        </is>
      </c>
      <c r="L3" s="122" t="inlineStr">
        <is>
          <t>lib/evaluation/pipeline/runPass2.ts; lib/evaluation/pipeline/prompts/pass2-editorial.ts; lib/governance/lessonsLearned/ACTIVE_RULES.ts; lib/governance/canonRegistry.ts</t>
        </is>
      </c>
      <c r="M3" s="122" t="inlineStr">
        <is>
          <t>E2E-04 pass1 + pass2; E2E-06 quality_gate</t>
        </is>
      </c>
      <c r="N3" s="122" t="inlineStr">
        <is>
          <t>scripts/e2e-golden-run.sh; scripts/pipeline/run-phase2-7-real-run.ts; __tests__/lib/evaluation/processor.canonical-pipeline.test.ts</t>
        </is>
      </c>
      <c r="O3" s="204" t="inlineStr">
        <is>
          <t>AMBIGUOUS</t>
        </is>
      </c>
      <c r="P3" s="122" t="inlineStr">
        <is>
          <t>Job 5a5a2927-4e72-4513-bb3f-bfa38d559393 failed with LLR-004 at post_diagnostic.</t>
        </is>
      </c>
      <c r="Q3" s="122" t="inlineStr">
        <is>
          <t>AMBIGUOUS → RESOLVED after failing Pass2 payload is captured and subtype classified.</t>
        </is>
      </c>
      <c r="R3" s="122" t="inlineStr">
        <is>
          <t>2026-04-27</t>
        </is>
      </c>
      <c r="S3" s="122" t="inlineStr">
        <is>
          <t>Add LLR-004 subtype classification: MODEL_OUTPUT_INVALID vs RULE_TOO_STRICT vs REGISTRY_DRIFT.</t>
        </is>
      </c>
      <c r="T3" s="122" t="n"/>
      <c r="U3" s="122" t="n"/>
      <c r="V3" s="122" t="n"/>
    </row>
    <row r="4" ht="14.39999961853027" customHeight="1" s="213">
      <c r="A4" s="122" t="inlineStr">
        <is>
          <t>RCA-DIALOGUE-GATE-001</t>
        </is>
      </c>
      <c r="B4" s="122" t="inlineStr">
        <is>
          <t>QG_DIALOGUE_ATTRIBUTION_UNDERAUDITED</t>
        </is>
      </c>
      <c r="C4" s="122" t="inlineStr">
        <is>
          <t>Pass4 / Quality Gate</t>
        </is>
      </c>
      <c r="D4" s="122" t="inlineStr">
        <is>
          <t>quality_gate / pass4</t>
        </is>
      </c>
      <c r="E4" s="122" t="inlineStr">
        <is>
          <t>False or over-broad dialogue attribution failures on reachable jobs.</t>
        </is>
      </c>
      <c r="F4" s="122" t="inlineStr">
        <is>
          <t>Gate used insufficiently diagnostic mechanism detection; valid dialogue analysis could be under-recognized without attribution/rendering vocabulary.</t>
        </is>
      </c>
      <c r="G4" s="122" t="inlineStr">
        <is>
          <t>GATE_LOGIC</t>
        </is>
      </c>
      <c r="H4" s="122" t="inlineStr">
        <is>
          <t>MEDIUM</t>
        </is>
      </c>
      <c r="I4" s="122" t="inlineStr">
        <is>
          <t>ENFORCEMENT</t>
        </is>
      </c>
      <c r="J4" s="122" t="inlineStr">
        <is>
          <t>Previously blocked completed reports; now resolved at gate-level but upstream reachability can obscure proof.</t>
        </is>
      </c>
      <c r="K4" s="122" t="inlineStr">
        <is>
          <t>Keep diagnostic-grounded dialogue gate: marker OR mechanism-language path; preserve fail-closed behavior and regression tests.</t>
        </is>
      </c>
      <c r="L4" s="122" t="inlineStr">
        <is>
          <t>lib/evaluation/pipeline/qualityGate.ts; lib/evaluation/pipeline/gates.ts; lib/evaluation/pipeline/runPass3Synthesis.ts; lib/evaluation/pipeline/runPipeline.ts</t>
        </is>
      </c>
      <c r="M4" s="122" t="inlineStr">
        <is>
          <t>E2E-06 quality_gate; E2E-07 pass4_cross_check</t>
        </is>
      </c>
      <c r="N4" s="122" t="inlineStr">
        <is>
          <t>__tests__/lib/evaluation/pipeline/qualityGate.coverage.test.ts; scripts/pipeline/gate-replay-check.ts; scripts/pipeline/run-dominatus-i4-eval.ts</t>
        </is>
      </c>
      <c r="O4" s="208" t="inlineStr">
        <is>
          <t>RESOLVED</t>
        </is>
      </c>
      <c r="P4" s="122" t="inlineStr">
        <is>
          <t>PR #245; post-fix reachable runs did not re-trigger QG_DIALOGUE_ATTRIBUTION_UNDERAUDITED.</t>
        </is>
      </c>
      <c r="Q4" s="122" t="inlineStr">
        <is>
          <t>Upstream PASS1/LLR reachability for additional live samples.</t>
        </is>
      </c>
      <c r="R4" s="122" t="inlineStr">
        <is>
          <t>2026-04-27</t>
        </is>
      </c>
      <c r="S4" s="122" t="inlineStr">
        <is>
          <t>Preserve tests; only reopen if fresh post-fix job triggers same gate with diagnostic evidence.</t>
        </is>
      </c>
      <c r="T4" s="122" t="n"/>
      <c r="U4" s="122" t="n"/>
      <c r="V4" s="122" t="n"/>
    </row>
    <row r="5" ht="14.39999961853027" customHeight="1" s="213">
      <c r="A5" s="122" t="inlineStr">
        <is>
          <t>RCA-ATOMIC-PERSISTENCE-001</t>
        </is>
      </c>
      <c r="B5" s="122" t="inlineStr">
        <is>
          <t>ATOMIC_PERSISTENCE</t>
        </is>
      </c>
      <c r="C5" s="122" t="inlineStr">
        <is>
          <t>Persistence / Supabase RPC</t>
        </is>
      </c>
      <c r="D5" s="122" t="inlineStr">
        <is>
          <t>persist_artifacts + finalize</t>
        </is>
      </c>
      <c r="E5" s="122" t="inlineStr">
        <is>
          <t>Artifact/job completion could split or DB RPC could fail with ambiguity.</t>
        </is>
      </c>
      <c r="F5" s="122" t="inlineStr">
        <is>
          <t>SQL ambiguity in atomic persistence RPC plus prior sequential write risk.</t>
        </is>
      </c>
      <c r="G5" s="122" t="inlineStr">
        <is>
          <t>DB_RPC</t>
        </is>
      </c>
      <c r="H5" s="122" t="inlineStr">
        <is>
          <t>LOW</t>
        </is>
      </c>
      <c r="I5" s="122" t="inlineStr">
        <is>
          <t>ENFORCEMENT</t>
        </is>
      </c>
      <c r="J5" s="122" t="inlineStr">
        <is>
          <t>Could create completion/artifact mismatch or failed success path.</t>
        </is>
      </c>
      <c r="K5" s="122" t="inlineStr">
        <is>
          <t>Use atomic RPC for V2 persistence and source-align #variable_conflict/use_column hotfix.</t>
        </is>
      </c>
      <c r="L5" s="122" t="inlineStr">
        <is>
          <t>lib/evaluation/persistEvaluationResultV2.ts; lib/evaluation/artifactPersistence.ts; supabase/migrations/*persist_evaluation_v2_atomic*</t>
        </is>
      </c>
      <c r="M5" s="122" t="inlineStr">
        <is>
          <t>E2E-08 persist_artifacts + finalize; E2E-10 proof harness</t>
        </is>
      </c>
      <c r="N5" s="122" t="inlineStr">
        <is>
          <t>__tests__/lib/evaluation/persistEvaluationResultV2.boundary-gate.test.ts; scripts/jobs-supabase-contract-smoke.mjs; scripts/jobs-smoke-service-role.mjs; npm run soak:qualify</t>
        </is>
      </c>
      <c r="O5" s="208" t="inlineStr">
        <is>
          <t>RESOLVED</t>
        </is>
      </c>
      <c r="P5" s="122" t="inlineStr">
        <is>
          <t>PR #241/#242/#243; job 29089ed6 complete; artifact af699bd8 exists; 100k soak proof.</t>
        </is>
      </c>
      <c r="Q5" s="122" t="inlineStr">
        <is>
          <t>None unless regression appears.</t>
        </is>
      </c>
      <c r="R5" s="122" t="inlineStr">
        <is>
          <t>2026-04-27</t>
        </is>
      </c>
      <c r="S5" s="122" t="inlineStr">
        <is>
          <t>Keep migration/source aligned and include atomic proof in release guard.</t>
        </is>
      </c>
      <c r="T5" s="122" t="n"/>
      <c r="U5" s="122" t="n"/>
      <c r="V5" s="122" t="n"/>
    </row>
    <row r="6" ht="14.39999961853027" customHeight="1" s="213">
      <c r="A6" s="126" t="inlineStr">
        <is>
          <t>RCA-FAILURE-ENVELOPE-001</t>
        </is>
      </c>
      <c r="B6" s="126" t="inlineStr">
        <is>
          <t>PIPELINE_FAILURE_ENVELOPE</t>
        </is>
      </c>
      <c r="C6" s="126" t="inlineStr">
        <is>
          <t>Failure Diagnostics</t>
        </is>
      </c>
      <c r="D6" s="126" t="inlineStr">
        <is>
          <t>pipeline failure handling</t>
        </is>
      </c>
      <c r="E6" s="126" t="inlineStr">
        <is>
          <t>Current QG failure path now emits structured envelope, but diagnostic payload is not yet proven across all failure classes.</t>
        </is>
      </c>
      <c r="F6" s="126" t="inlineStr">
        <is>
          <t>Envelope enforcement exists on current path; full diagnostic topology still requires fresh non-null pipeline_failure_diagnostics samples.</t>
        </is>
      </c>
      <c r="G6" s="126" t="inlineStr">
        <is>
          <t>OBSERVABILITY</t>
        </is>
      </c>
      <c r="H6" s="126" t="inlineStr">
        <is>
          <t>MEDIUM</t>
        </is>
      </c>
      <c r="I6" s="126" t="inlineStr">
        <is>
          <t>ENFORCEMENT</t>
        </is>
      </c>
      <c r="J6" s="126" t="inlineStr">
        <is>
          <t>Without consistent envelope/diagnostics, failures become harder to classify into RCCA rows.</t>
        </is>
      </c>
      <c r="K6" s="126" t="inlineStr">
        <is>
          <t>Keep envelope required; run targeted post-fix diagnostic failures to capture non-null diagnostics and classify by stage.</t>
        </is>
      </c>
      <c r="L6" s="126" t="inlineStr">
        <is>
          <t>lib/evaluation/processor.ts; lib/evaluation/pipeline/failures.ts; lib/evaluation/processor/finalizeJobFailure.ts</t>
        </is>
      </c>
      <c r="M6" s="126" t="inlineStr">
        <is>
          <t>E2E-03 claim → pipeline_run; E2E-06 quality_gate; E2E-10 proof harness</t>
        </is>
      </c>
      <c r="N6" s="126" t="inlineStr">
        <is>
          <t>tests/evaluation/pipeline/pipeline-e2e.test.ts; __tests__/lib/evaluation/processor.test.ts; scripts/e2e-golden-run.sh</t>
        </is>
      </c>
      <c r="O6" s="212" t="inlineStr">
        <is>
          <t>PARTIAL</t>
        </is>
      </c>
      <c r="P6" s="126" t="inlineStr">
        <is>
          <t>Recent QG failure job 40b377de had pipeline_failure_envelope; older jobs lacked envelope as pre-fix baseline.</t>
        </is>
      </c>
      <c r="Q6" s="126" t="inlineStr">
        <is>
          <t>Need fresh non-null diagnostics sample.</t>
        </is>
      </c>
      <c r="R6" s="126" t="inlineStr">
        <is>
          <t>2026-04-27</t>
        </is>
      </c>
      <c r="S6" s="126" t="inlineStr">
        <is>
          <t>Generate targeted post-fix failure proof and store RCA subtype in ledger.</t>
        </is>
      </c>
      <c r="T6" s="126" t="n"/>
      <c r="U6" s="126" t="n"/>
      <c r="V6" s="126" t="n"/>
    </row>
    <row r="7" ht="14.39999961853027" customHeight="1" s="213">
      <c r="A7" s="126" t="inlineStr">
        <is>
          <t>RCA-U2-001</t>
        </is>
      </c>
      <c r="B7" s="126" t="inlineStr">
        <is>
          <t>U2_SCORE_CONFIDENCE_MISMATCH</t>
        </is>
      </c>
      <c r="C7" s="126" t="inlineStr">
        <is>
          <t>Quality Gate</t>
        </is>
      </c>
      <c r="D7" s="126" t="inlineStr">
        <is>
          <t>quality_gate</t>
        </is>
      </c>
      <c r="E7" s="126" t="inlineStr">
        <is>
          <t>Score &gt;= 6 while criterion confidence is low.</t>
        </is>
      </c>
      <c r="F7" s="126" t="inlineStr">
        <is>
          <t>No hard binding between derived confidence and score authority.</t>
        </is>
      </c>
      <c r="G7" s="126" t="inlineStr">
        <is>
          <t>SYSTEM</t>
        </is>
      </c>
      <c r="H7" s="126" t="inlineStr">
        <is>
          <t>HIGH</t>
        </is>
      </c>
      <c r="I7" s="126" t="inlineStr">
        <is>
          <t>ENFORCEMENT</t>
        </is>
      </c>
      <c r="J7" s="126" t="inlineStr">
        <is>
          <t>Allows over-claiming evaluation authority and lets weak evidence look stronger than it is.</t>
        </is>
      </c>
      <c r="K7" s="126" t="inlineStr">
        <is>
          <t>Enforce QG_FIDELITY_SCORE_CONFIDENCE_MISMATCH; fail/hold or cap authority when low-confidence score exceeds allowed ceiling.</t>
        </is>
      </c>
      <c r="L7" s="126" t="inlineStr">
        <is>
          <t>lib/evaluation/pipeline/qualityGate.ts</t>
        </is>
      </c>
      <c r="M7" s="126" t="inlineStr">
        <is>
          <t>E2E-06 quality_gate; E2E-10 proof harness</t>
        </is>
      </c>
      <c r="N7" s="126" t="inlineStr">
        <is>
          <t>__tests__/lib/evaluation/pipeline/qualityGate.coverage.test.ts; tests/evaluation/pipeline/pipeline-e2e.test.ts; scripts/e2e-golden-run.sh</t>
        </is>
      </c>
      <c r="O7" s="126" t="inlineStr">
        <is>
          <t>NOT_STARTED</t>
        </is>
      </c>
      <c r="P7" s="126" t="inlineStr">
        <is>
          <t>U2 Batch 2 seed from 2026-04-27 workbook discussion; must close after confidence derivation exists.</t>
        </is>
      </c>
      <c r="Q7" s="126" t="inlineStr">
        <is>
          <t>Blocked by confidence derivation RCA.</t>
        </is>
      </c>
      <c r="R7" s="126" t="inlineStr">
        <is>
          <t>2026-04-27</t>
        </is>
      </c>
      <c r="S7" s="126" t="inlineStr">
        <is>
          <t>Implement after RCA-U2-003 so confidence source is deterministic.</t>
        </is>
      </c>
      <c r="T7" s="126" t="inlineStr">
        <is>
          <t>RCA-U2-003</t>
        </is>
      </c>
      <c r="U7" s="126" t="n"/>
      <c r="V7" s="126" t="n"/>
    </row>
    <row r="8" ht="14.39999961853027" customHeight="1" s="213">
      <c r="A8" s="126" t="inlineStr">
        <is>
          <t>RCA-U2-002</t>
        </is>
      </c>
      <c r="B8" s="126" t="inlineStr">
        <is>
          <t>U2_SUMMARY_WASHING</t>
        </is>
      </c>
      <c r="C8" s="126" t="inlineStr">
        <is>
          <t>Pass3 / Synthesis</t>
        </is>
      </c>
      <c r="D8" s="126" t="inlineStr">
        <is>
          <t>pass3_synthesis</t>
        </is>
      </c>
      <c r="E8" s="126" t="inlineStr">
        <is>
          <t>Summary presents positive/clean authority while low-scoring or weak criteria exist.</t>
        </is>
      </c>
      <c r="F8" s="126" t="inlineStr">
        <is>
          <t>Synthesis layer can smooth contradictions and omit lowest-scoring weakness cluster.</t>
        </is>
      </c>
      <c r="G8" s="126" t="inlineStr">
        <is>
          <t>SYSTEM</t>
        </is>
      </c>
      <c r="H8" s="126" t="inlineStr">
        <is>
          <t>HIGH</t>
        </is>
      </c>
      <c r="I8" s="126" t="inlineStr">
        <is>
          <t>ENFORCEMENT</t>
        </is>
      </c>
      <c r="J8" s="126" t="inlineStr">
        <is>
          <t>Narrative distortion: user-facing summary can sound better than the score/evidence profile supports.</t>
        </is>
      </c>
      <c r="K8" s="126" t="inlineStr">
        <is>
          <t>Require Pass3 summary to reference at least one weakest/lowest-scoring criteria cluster; gate QG_SUMMARY_OMITS_WEAKNESS if omitted.</t>
        </is>
      </c>
      <c r="L8" s="126" t="inlineStr">
        <is>
          <t>lib/evaluation/pipeline/runPass3Synthesis.ts; lib/evaluation/pipeline/qualityGate.ts</t>
        </is>
      </c>
      <c r="M8" s="126" t="inlineStr">
        <is>
          <t>E2E-05 pass3; E2E-06 quality_gate; E2E-10 proof harness</t>
        </is>
      </c>
      <c r="N8" s="126" t="inlineStr">
        <is>
          <t>__tests__/lib/evaluation/pipeline/pass3-semantic-contract.test.ts; __tests__/lib/evaluation/pipeline/qualityGate.coverage.test.ts; PV115 golden fixture</t>
        </is>
      </c>
      <c r="O8" s="126" t="inlineStr">
        <is>
          <t>NOT_STARTED</t>
        </is>
      </c>
      <c r="P8" s="126" t="inlineStr">
        <is>
          <t>U2 Batch 2 seed; anti-washing must be separate from score-confidence mismatch.</t>
        </is>
      </c>
      <c r="Q8" s="126" t="inlineStr">
        <is>
          <t>Blocked by anchor enforcement so weakness reference has concrete textual grounding.</t>
        </is>
      </c>
      <c r="R8" s="126" t="inlineStr">
        <is>
          <t>2026-04-27</t>
        </is>
      </c>
      <c r="S8" s="126" t="inlineStr">
        <is>
          <t>Implement after RCA-U2-006 anchor requirement is defined.</t>
        </is>
      </c>
      <c r="T8" s="126" t="inlineStr">
        <is>
          <t>RCA-U2-006</t>
        </is>
      </c>
      <c r="U8" s="126" t="n"/>
      <c r="V8" s="126" t="n"/>
    </row>
    <row r="9" ht="14.39999961853027" customHeight="1" s="213">
      <c r="A9" s="126" t="inlineStr">
        <is>
          <t>RCA-U2-003</t>
        </is>
      </c>
      <c r="B9" s="126" t="inlineStr">
        <is>
          <t>U2_CONFIDENCE_DERIVATION</t>
        </is>
      </c>
      <c r="C9" s="126" t="inlineStr">
        <is>
          <t>Pipeline / Confidence</t>
        </is>
      </c>
      <c r="D9" s="126" t="inlineStr">
        <is>
          <t>synthesisToEvaluationResultV2</t>
        </is>
      </c>
      <c r="E9" s="126" t="inlineStr">
        <is>
          <t>Confidence inconsistent with evidence profile or still treated as model-emitted/static metadata.</t>
        </is>
      </c>
      <c r="F9" s="126" t="inlineStr">
        <is>
          <t>Confidence is not deterministically derived from criterion evidence/count/quality topology.</t>
        </is>
      </c>
      <c r="G9" s="126" t="inlineStr">
        <is>
          <t>SYSTEM</t>
        </is>
      </c>
      <c r="H9" s="126" t="inlineStr">
        <is>
          <t>HIGH</t>
        </is>
      </c>
      <c r="I9" s="126" t="inlineStr">
        <is>
          <t>ENFORCEMENT</t>
        </is>
      </c>
      <c r="J9" s="126" t="inlineStr">
        <is>
          <t>Invalid authority signal can propagate into score, summary, persistence, and UI.</t>
        </is>
      </c>
      <c r="K9" s="126" t="inlineStr">
        <is>
          <t>Derive confidence from evidence profile and deterministic reason codes; populate governance.confidence_label and confidence_reasons.</t>
        </is>
      </c>
      <c r="L9" s="126" t="inlineStr">
        <is>
          <t>lib/evaluation/pipeline/runPipeline.ts; lib/evaluation/schemas/evaluation-result-v2.ts; lib/evaluation/pipeline/propagationIntegrity.ts</t>
        </is>
      </c>
      <c r="M9" s="126" t="inlineStr">
        <is>
          <t>E2E-05 pass3; E2E-06 quality_gate; E2E-10 proof harness</t>
        </is>
      </c>
      <c r="N9" s="126" t="inlineStr">
        <is>
          <t>tests/evaluation/pipeline/pipeline-e2e.test.ts; __tests__/lib/evaluation/processor.real-gate.test.ts; PV115 golden fixture</t>
        </is>
      </c>
      <c r="O9" s="126" t="inlineStr">
        <is>
          <t>PARTIAL</t>
        </is>
      </c>
      <c r="P9" s="126" t="inlineStr">
        <is>
          <t>Remote branch feat/u2-propagation-enforcement includes U2 commit 8ecdde70; deterministic confidence implementation pushed; focused local tests green. ROADMAP.md updated by ca12ade4 to PARTIAL REMOTE IMPLEMENTATION / LIVE_PROOF_PENDING. Live server/API artifact proof still pending.</t>
        </is>
      </c>
      <c r="Q9" s="126" t="inlineStr">
        <is>
          <t>LIVE_PROOF_PENDING</t>
        </is>
      </c>
      <c r="R9" s="126" t="inlineStr">
        <is>
          <t>2026-04-28</t>
        </is>
      </c>
      <c r="S9" s="126" t="inlineStr">
        <is>
          <t>Run live U2 closure proof and capture governance.confidence_label, confidence_reasons, propagation_summary, and progress.gate_enforcement before RESOLVED.</t>
        </is>
      </c>
      <c r="T9" s="126" t="inlineStr">
        <is>
          <t>NONE</t>
        </is>
      </c>
      <c r="U9" s="126" t="n"/>
      <c r="V9" s="126" t="n"/>
    </row>
    <row r="10" ht="14.39999961853027" customHeight="1" s="213">
      <c r="A10" s="126" t="inlineStr">
        <is>
          <t>RCA-U2-004</t>
        </is>
      </c>
      <c r="B10" s="126" t="inlineStr">
        <is>
          <t>U2_PROPAGATION_MISSING</t>
        </is>
      </c>
      <c r="C10" s="126" t="inlineStr">
        <is>
          <t>Pipeline / Gate</t>
        </is>
      </c>
      <c r="D10" s="126" t="inlineStr">
        <is>
          <t>synthesis + quality_gate</t>
        </is>
      </c>
      <c r="E10" s="126" t="inlineStr">
        <is>
          <t>Weak criterion signals do not affect report-level authority.</t>
        </is>
      </c>
      <c r="F10" s="126" t="inlineStr">
        <is>
          <t>No aggregation/profiling layer converts per-criterion confidence/evidence into upstreamIntegrity.</t>
        </is>
      </c>
      <c r="G10" s="126" t="inlineStr">
        <is>
          <t>SYSTEM</t>
        </is>
      </c>
      <c r="H10" s="126" t="inlineStr">
        <is>
          <t>HIGH</t>
        </is>
      </c>
      <c r="I10" s="126" t="inlineStr">
        <is>
          <t>ENFORCEMENT</t>
        </is>
      </c>
      <c r="J10" s="126" t="inlineStr">
        <is>
          <t>Report-level dishonesty: weak evidence can still produce high-authority artifact presentation.</t>
        </is>
      </c>
      <c r="K10" s="126" t="inlineStr">
        <is>
          <t>Compute propagation profile: low/moderate/scorable-low/missing/weak evidence counts plus upstreamIntegrity strong|mixed|weak.</t>
        </is>
      </c>
      <c r="L10" s="126" t="inlineStr">
        <is>
          <t>lib/evaluation/pipeline/qualityGate.ts; lib/evaluation/pipeline/runPipeline.ts; lib/evaluation/schemas/evaluation-result-v2.ts</t>
        </is>
      </c>
      <c r="M10" s="126" t="inlineStr">
        <is>
          <t>E2E-06 quality_gate; E2E-08 persist_artifacts + finalize; E2E-10 proof harness</t>
        </is>
      </c>
      <c r="N10" s="126" t="inlineStr">
        <is>
          <t>__tests__/lib/evaluation/pipeline/qualityGate.coverage.test.ts; __tests__/lib/evaluation/persistEvaluationResultV2.boundary-gate.test.ts; scripts/e2e-golden-run.sh</t>
        </is>
      </c>
      <c r="O10" s="126" t="inlineStr">
        <is>
          <t>NOT_STARTED</t>
        </is>
      </c>
      <c r="P10" s="126" t="inlineStr">
        <is>
          <t>U2 Batch 2 seed; creates report-level propagation authority.</t>
        </is>
      </c>
      <c r="Q10" s="126" t="inlineStr">
        <is>
          <t>Blocked by confidence derivation; cannot aggregate unstable confidence source.</t>
        </is>
      </c>
      <c r="R10" s="126" t="inlineStr">
        <is>
          <t>2026-04-27</t>
        </is>
      </c>
      <c r="S10" s="126" t="inlineStr">
        <is>
          <t>Implement after RCA-U2-003.</t>
        </is>
      </c>
      <c r="T10" s="126" t="inlineStr">
        <is>
          <t>RCA-U2-003</t>
        </is>
      </c>
      <c r="U10" s="126" t="n"/>
      <c r="V10" s="126" t="n"/>
    </row>
    <row r="11" ht="14.39999961853027" customHeight="1" s="213">
      <c r="A11" s="126" t="inlineStr">
        <is>
          <t>RCA-U2-005</t>
        </is>
      </c>
      <c r="B11" s="126" t="inlineStr">
        <is>
          <t>U2_UI_AUTHORITY_MISMATCH</t>
        </is>
      </c>
      <c r="C11" s="126" t="inlineStr">
        <is>
          <t>UI / Classification</t>
        </is>
      </c>
      <c r="D11" s="126" t="inlineStr">
        <is>
          <t>report_render</t>
        </is>
      </c>
      <c r="E11" s="126" t="inlineStr">
        <is>
          <t>High-confidence UI/banner can appear on weak or low-confidence artifact.</t>
        </is>
      </c>
      <c r="F11" s="126" t="inlineStr">
        <is>
          <t>UI classification is not bound to confidence topology and propagation integrity.</t>
        </is>
      </c>
      <c r="G11" s="126" t="inlineStr">
        <is>
          <t>SYSTEM</t>
        </is>
      </c>
      <c r="H11" s="126" t="inlineStr">
        <is>
          <t>HIGH</t>
        </is>
      </c>
      <c r="I11" s="126" t="inlineStr">
        <is>
          <t>ENFORCEMENT</t>
        </is>
      </c>
      <c r="J11" s="126" t="inlineStr">
        <is>
          <t>User-facing false authority even if backend has warnings or mixed/weak confidence.</t>
        </is>
      </c>
      <c r="K11" s="126" t="inlineStr">
        <is>
          <t>Update warningClassification so high-confidence banner requires PASS + non-low confidence + no severe propagation/fidelity warning.</t>
        </is>
      </c>
      <c r="L11" s="126" t="inlineStr">
        <is>
          <t>lib/evaluation/warningClassification.ts; components/report/*; app/evaluate/[jobId]/page.tsx</t>
        </is>
      </c>
      <c r="M11" s="126" t="inlineStr">
        <is>
          <t>E2E-09 report_render; E2E-10 proof harness</t>
        </is>
      </c>
      <c r="N11" s="126" t="inlineStr">
        <is>
          <t>__tests__/lib/evaluation/warningClassification.test.ts; scripts/check-e2e-summary.mjs; PV115 golden fixture</t>
        </is>
      </c>
      <c r="O11" s="126" t="inlineStr">
        <is>
          <t>NOT_STARTED</t>
        </is>
      </c>
      <c r="P11" s="126" t="inlineStr">
        <is>
          <t>U2 Batch 2 seed; close after propagation layer exists.</t>
        </is>
      </c>
      <c r="Q11" s="126" t="inlineStr">
        <is>
          <t>Blocked by propagation profile; UI needs stable upstreamIntegrity input.</t>
        </is>
      </c>
      <c r="R11" s="126" t="inlineStr">
        <is>
          <t>2026-04-27</t>
        </is>
      </c>
      <c r="S11" s="126" t="inlineStr">
        <is>
          <t>Implement after RCA-U2-004.</t>
        </is>
      </c>
      <c r="T11" s="126" t="inlineStr">
        <is>
          <t>RCA-U2-004</t>
        </is>
      </c>
      <c r="U11" s="126" t="n"/>
      <c r="V11" s="126" t="n"/>
    </row>
    <row r="12" ht="14.39999961853027" customHeight="1" s="213">
      <c r="A12" s="126" t="inlineStr">
        <is>
          <t>RCA-U2-006</t>
        </is>
      </c>
      <c r="B12" s="126" t="inlineStr">
        <is>
          <t>U2_EVIDENCE_ANCHOR_ENFORCEMENT</t>
        </is>
      </c>
      <c r="C12" s="126" t="inlineStr">
        <is>
          <t>Quality Gate / Pass2</t>
        </is>
      </c>
      <c r="D12" s="126" t="inlineStr">
        <is>
          <t>pass2 + quality_gate</t>
        </is>
      </c>
      <c r="E12" s="126" t="inlineStr">
        <is>
          <t>Criterion rationale lacks textual anchors such as quote, scene, action, or concrete manuscript reference.</t>
        </is>
      </c>
      <c r="F12" s="126" t="inlineStr">
        <is>
          <t>No enforced citation/anchor requirement for rationale validity; scope is anchor enforcement only, not full confidence derivation.</t>
        </is>
      </c>
      <c r="G12" s="126" t="inlineStr">
        <is>
          <t>MODEL + SYSTEM</t>
        </is>
      </c>
      <c r="H12" s="126" t="inlineStr">
        <is>
          <t>MEDIUM</t>
        </is>
      </c>
      <c r="I12" s="126" t="inlineStr">
        <is>
          <t>ENFORCEMENT</t>
        </is>
      </c>
      <c r="J12" s="126" t="inlineStr">
        <is>
          <t>Shallow reasoning can appear valid and later be polished by synthesis.</t>
        </is>
      </c>
      <c r="K12" s="126" t="inlineStr">
        <is>
          <t>Require at least one concrete textual anchor for scorable rationale OR downgrade confidence / trigger hold threshold.</t>
        </is>
      </c>
      <c r="L12" s="126" t="inlineStr">
        <is>
          <t>lib/evaluation/pipeline/qualityGate.ts; lib/evaluation/pipeline/runPass2.ts; lib/evaluation/pipeline/prompts/pass2-editorial.ts; lib/evaluation/pipeline/__tests__/runPass2.anchor-enforcement.test.ts</t>
        </is>
      </c>
      <c r="M12" s="126" t="inlineStr">
        <is>
          <t>E2E-04 pass1 + pass2; E2E-06 quality_gate; E2E-10 proof harness</t>
        </is>
      </c>
      <c r="N12" s="126" t="inlineStr">
        <is>
          <t>__tests__/lib/evaluation/pipeline/qualityGate.coverage.test.ts; lib/evaluation/pipeline/__tests__/runPass2.anchor-enforcement.test.ts; __tests__/lib/evaluation/processor.real-gate.test.ts; PV115 golden fixture</t>
        </is>
      </c>
      <c r="O12" s="126" t="inlineStr">
        <is>
          <t>PARTIAL</t>
        </is>
      </c>
      <c r="P12" s="126" t="inlineStr">
        <is>
          <t>Remote branch feat/u2-propagation-enforcement includes U2 commit 8ecdde70 with runPass2 anchor enforcement and runPass2.anchor-enforcement.test.ts; focused local tests green. Live server/API artifact proof still pending.</t>
        </is>
      </c>
      <c r="Q12" s="126" t="inlineStr">
        <is>
          <t>LIVE_PROOF_PENDING</t>
        </is>
      </c>
      <c r="R12" s="126" t="inlineStr">
        <is>
          <t>2026-04-28</t>
        </is>
      </c>
      <c r="S12" s="126" t="inlineStr">
        <is>
          <t>Run live/real-path proof and capture reason_codes / NO_TEXTUAL_ANCHOR evidence when applicable before RESOLVED.</t>
        </is>
      </c>
      <c r="T12" s="126" t="inlineStr">
        <is>
          <t>NONE</t>
        </is>
      </c>
      <c r="U12" s="126" t="n"/>
      <c r="V12" s="126" t="n"/>
    </row>
    <row r="13" ht="14.39999961853027" customHeight="1" s="213">
      <c r="A13" s="126" t="inlineStr">
        <is>
          <t>RCA-BOUNDARY-SHAPE-001</t>
        </is>
      </c>
      <c r="B13" s="126" t="inlineStr">
        <is>
          <t>BOUNDARY_VALIDATION_SHAPE_GAP</t>
        </is>
      </c>
      <c r="C13" s="126" t="inlineStr">
        <is>
          <t>Persistence Boundary</t>
        </is>
      </c>
      <c r="D13" s="126" t="inlineStr">
        <is>
          <t>persistEvaluationResultV2 / validation</t>
        </is>
      </c>
      <c r="E13" s="126" t="inlineStr">
        <is>
          <t>RESOLVED: raw persisted PASS artifact path was verified; gate_enforcement is stored at progress.gate_enforcement and PASS-path regression exists.</t>
        </is>
      </c>
      <c r="F13" s="126" t="inlineStr">
        <is>
          <t>No defect found. Ambiguity came from an unproven raw-vs-normalized proof gap. Structural validation runs on raw EvaluationResultV2 before persistence; pipeline artifact validation runs on an intentional projection; raw EvaluationResultV2 is persisted.</t>
        </is>
      </c>
      <c r="G13" s="126" t="inlineStr">
        <is>
          <t>PROOF_GAP_CLOSED</t>
        </is>
      </c>
      <c r="H13" s="126" t="inlineStr">
        <is>
          <t>MEDIUM</t>
        </is>
      </c>
      <c r="I13" s="126" t="inlineStr">
        <is>
          <t>CALIBRATION_CONFIRMED</t>
        </is>
      </c>
      <c r="J13" s="126" t="inlineStr">
        <is>
          <t>Removes false uncertainty around boundary validation; restores confidence that Step 1.5 structural validation is enforced on the covered PASS path.</t>
        </is>
      </c>
      <c r="K13" s="126" t="inlineStr">
        <is>
          <t>No code change required from this check. Preserve PASS-path regression asserting progress.gate_enforcement is populated; continue querying progress-&gt;'gate_enforcement' rather than expecting a standalone column.</t>
        </is>
      </c>
      <c r="L13" s="126" t="inlineStr">
        <is>
          <t>lib/evaluation/persistEvaluationResultV2.ts; lib/evaluation/pipeline/validateEvaluationArtifact.ts; lib/evaluation/schemas/evaluation-result-v2.ts; lib/evaluation/artifactPersistence.ts</t>
        </is>
      </c>
      <c r="M13" s="126" t="inlineStr">
        <is>
          <t>E2E-08 persist_artifacts + finalize; E2E-10 proof harness</t>
        </is>
      </c>
      <c r="N13" s="126" t="inlineStr">
        <is>
          <t>scripts/e2e-golden-run.sh; scripts/check-e2e-summary.mjs; __tests__/lib/evaluation/persistEvaluationResultV2.boundary-gate.test.ts</t>
        </is>
      </c>
      <c r="O13" s="126" t="inlineStr">
        <is>
          <t>RESOLVED</t>
        </is>
      </c>
      <c r="P13" s="126" t="inlineStr">
        <is>
          <t>RESOLVED with code-level + live production-data proof. Live SQL against latest complete job 533a77a5-11cd-4b06-9167-41332cd12390 returned progress-&gt;'gate_enforcement' populated (not null): validation_result='PASS', gate_decision='PASS', gate_reason='Artifact validation result is PASS', validated_at='2026-04-27T04:26:09.435Z', confidence={confidence:'high', reasons:[]}, reason_codes=[]. artifact_schema=evaluation_result_v2; completed_at=2026-04-27T04:26:09.436+00:00. Code proof: validateStructuralArtifact runs on raw EvaluationResultV2 before buildArtifactForValidation projection; raw artifact is persisted via p_artifact_content/p_evaluation_result; PASS-path regression passes 6/6.</t>
        </is>
      </c>
      <c r="Q13" s="126" t="inlineStr">
        <is>
          <t>None. Closed before U2 code lands.</t>
        </is>
      </c>
      <c r="R13" s="126" t="inlineStr">
        <is>
          <t>2026-04-27</t>
        </is>
      </c>
      <c r="S13" s="126" t="inlineStr">
        <is>
          <t>Closed. Use progress-&gt;'gate_enforcement' for future DB checks; do not query a nonexistent top-level gate_enforcement column.</t>
        </is>
      </c>
      <c r="T13" s="126" t="inlineStr">
        <is>
          <t>NONE</t>
        </is>
      </c>
      <c r="U13" s="126" t="n"/>
      <c r="V13" s="126" t="n"/>
    </row>
    <row r="14">
      <c r="A14" s="210" t="inlineStr">
        <is>
          <t>RCA-ENV-CONTRACT-TYPING-001</t>
        </is>
      </c>
      <c r="B14" s="210" t="inlineStr">
        <is>
          <t>ENV_CONTRACT_TEST_TYPING</t>
        </is>
      </c>
      <c r="C14" s="210" t="inlineStr">
        <is>
          <t>Tests / TypeScript env fixtures</t>
        </is>
      </c>
      <c r="D14" s="210" t="inlineStr">
        <is>
          <t>CI / Test Typing</t>
        </is>
      </c>
      <c r="E14" s="210" t="inlineStr">
        <is>
          <t>ProcessEnv test fixtures fail strict typing because invalid NODE_ENV values are typed before runtime validation and production config tests omit NODE_ENV.</t>
        </is>
      </c>
      <c r="F14" s="210" t="inlineStr">
        <is>
          <t>Test literals are not cast where intentionally invalid and some fixtures lack NODE_ENV; runtime code is not the problem.</t>
        </is>
      </c>
      <c r="G14" s="210" t="inlineStr">
        <is>
          <t>TEST_FIXTURE_TYPING</t>
        </is>
      </c>
      <c r="H14" s="210" t="inlineStr">
        <is>
          <t>LOW</t>
        </is>
      </c>
      <c r="I14" s="210" t="inlineStr">
        <is>
          <t>CALIBRATION</t>
        </is>
      </c>
      <c r="J14" s="210" t="inlineStr">
        <is>
          <t>Blocks/reds CI without runtime behavior change; should be isolated from Step-0 boundary changes.</t>
        </is>
      </c>
      <c r="K14" s="210" t="inlineStr">
        <is>
          <t>Test-only fix: add asProcessEnv helper for intentionally invalid env fixtures and add NODE_ENV:"test" to production config tests.</t>
        </is>
      </c>
      <c r="L14" s="210" t="inlineStr">
        <is>
          <t>tests/envContract.test.ts; tests/productionConfigValidation.test.ts</t>
        </is>
      </c>
      <c r="M14" s="210" t="inlineStr">
        <is>
          <t>CI typecheck / test suite</t>
        </is>
      </c>
      <c r="N14" s="210" t="inlineStr">
        <is>
          <t>npm test / tsc / targeted env contract tests</t>
        </is>
      </c>
      <c r="O14" s="210" t="inlineStr">
        <is>
          <t>READY_FOR_PR</t>
        </is>
      </c>
      <c r="P14" s="210" t="inlineStr">
        <is>
          <t>User-provided patch plan: helper cast invalid env cases; add NODE_ENV to both validateProductionConfig fixture cases.</t>
        </is>
      </c>
      <c r="Q14" s="210" t="inlineStr">
        <is>
          <t>None; separate minimal PR.</t>
        </is>
      </c>
      <c r="R14" s="210" t="inlineStr">
        <is>
          <t>2026-04-28</t>
        </is>
      </c>
      <c r="S14" s="210" t="inlineStr">
        <is>
          <t>Open surgical PR only; no runtime code changes.</t>
        </is>
      </c>
      <c r="T14" s="210" t="n"/>
      <c r="U14" s="210" t="n"/>
      <c r="V14" s="210" t="n"/>
    </row>
    <row r="15">
      <c r="A15" s="210" t="inlineStr">
        <is>
          <t>RCA-EVAL-QUALITY-001</t>
        </is>
      </c>
      <c r="B15" s="210" t="inlineStr">
        <is>
          <t>RECOMMENDATION_GENERICITY</t>
        </is>
      </c>
      <c r="C15" s="210" t="inlineStr">
        <is>
          <t>Evaluation Quality / Recommendations</t>
        </is>
      </c>
      <c r="D15" s="210" t="inlineStr">
        <is>
          <t>Final artifact acceptance</t>
        </is>
      </c>
      <c r="E15" s="210" t="inlineStr">
        <is>
          <t>Generic or formulaic recommendations pass as user-visible advice without sufficient manuscript-specific anchors.</t>
        </is>
      </c>
      <c r="F15" s="210" t="inlineStr">
        <is>
          <t>Acceptance layer validates completeness/coherence more strongly than evidence-bound recommendation specificity.</t>
        </is>
      </c>
      <c r="G15" s="210" t="inlineStr">
        <is>
          <t>SEMANTIC_ACCEPTANCE_GAP</t>
        </is>
      </c>
      <c r="H15" s="210" t="inlineStr">
        <is>
          <t>HIGH</t>
        </is>
      </c>
      <c r="I15" s="210" t="inlineStr">
        <is>
          <t>ENFORCEMENT</t>
        </is>
      </c>
      <c r="J15" s="210" t="inlineStr">
        <is>
          <t>Critical artifact trust issue: clean-looking reports can contain generic editorial heuristics.</t>
        </is>
      </c>
      <c r="K15" s="210" t="inlineStr">
        <is>
          <t>Add generic recommendation detection and fail/downgrade logic; require concrete textual mechanism or scene/action anchor for tactical recommendations.</t>
        </is>
      </c>
      <c r="L15" s="210" t="inlineStr">
        <is>
          <t>lib/evaluation/pipeline/qualityGate.ts; lib/evaluation/pipeline/runPass3Synthesis.ts; components/report/*</t>
        </is>
      </c>
      <c r="M15" s="210" t="inlineStr">
        <is>
          <t>E2E-06 quality_gate; E2E-09 report rendering</t>
        </is>
      </c>
      <c r="N15" s="210" t="inlineStr">
        <is>
          <t>qualityGate.coverage.test.ts; gate-replay-check.ts; PV115 golden fixture</t>
        </is>
      </c>
      <c r="O15" s="210" t="inlineStr">
        <is>
          <t>PENDING</t>
        </is>
      </c>
      <c r="P15" s="210" t="inlineStr">
        <is>
          <t>PV115 complete run f64c3266 produced generic advice: 70/30 scene/exposition, missing-person poster/report, comps, stacked adjectives/adverbs.</t>
        </is>
      </c>
      <c r="Q15" s="210" t="inlineStr">
        <is>
          <t>RCA-U2-006; RCA-U2-004</t>
        </is>
      </c>
      <c r="R15" s="210" t="inlineStr">
        <is>
          <t>2026-04-28</t>
        </is>
      </c>
      <c r="S15" s="210" t="inlineStr">
        <is>
          <t>Implement after Pass1 reachability strategy and read-only repo trace confirm gate wiring.</t>
        </is>
      </c>
      <c r="T15" s="210" t="n"/>
      <c r="U15" s="210" t="n"/>
      <c r="V15" s="210" t="n"/>
    </row>
    <row r="16">
      <c r="A16" s="210" t="inlineStr">
        <is>
          <t>RCA-EVAL-QUALITY-002</t>
        </is>
      </c>
      <c r="B16" s="210" t="inlineStr">
        <is>
          <t>CONFIDENCE_NON_ENFORCEMENT</t>
        </is>
      </c>
      <c r="C16" s="210" t="inlineStr">
        <is>
          <t>Evaluation Quality / Authority</t>
        </is>
      </c>
      <c r="D16" s="210" t="inlineStr">
        <is>
          <t>Governance / UI authority</t>
        </is>
      </c>
      <c r="E16" s="210" t="inlineStr">
        <is>
          <t>Confidence varies/moderate but strong tactical prescriptions remain user-visible.</t>
        </is>
      </c>
      <c r="F16" s="210" t="inlineStr">
        <is>
          <t>Confidence is advisory label rather than control-flow authority for report validity or language strength.</t>
        </is>
      </c>
      <c r="G16" s="210" t="inlineStr">
        <is>
          <t>SEMANTIC_ACCEPTANCE_GAP</t>
        </is>
      </c>
      <c r="H16" s="210" t="inlineStr">
        <is>
          <t>HIGH</t>
        </is>
      </c>
      <c r="I16" s="210" t="inlineStr">
        <is>
          <t>ENFORCEMENT</t>
        </is>
      </c>
      <c r="J16" s="210" t="inlineStr">
        <is>
          <t>Allows overconfident outputs under weak/uneven evidence.</t>
        </is>
      </c>
      <c r="K16" s="210" t="inlineStr">
        <is>
          <t>Implement confidence authority gate: low/mixed confidence must downgrade, constrain prescriptions, or block final report.</t>
        </is>
      </c>
      <c r="L16" s="210" t="inlineStr">
        <is>
          <t>lib/evaluation/pipeline/qualityGate.ts; lib/evaluation/warningClassification.ts; components/report/*</t>
        </is>
      </c>
      <c r="M16" s="210" t="inlineStr">
        <is>
          <t>E2E-06 quality_gate; E2E-09 report rendering</t>
        </is>
      </c>
      <c r="N16" s="210" t="inlineStr">
        <is>
          <t>warningClassification.test.ts; qualityGate.coverage.test.ts</t>
        </is>
      </c>
      <c r="O16" s="210" t="inlineStr">
        <is>
          <t>PENDING</t>
        </is>
      </c>
      <c r="P16" s="210" t="inlineStr">
        <is>
          <t>PV115 report says CONFIDENCE VARIES / Confidence 70% while giving high-authority recommendations.</t>
        </is>
      </c>
      <c r="Q16" s="210" t="inlineStr">
        <is>
          <t>RCA-U2-003; RCA-U2-004; RCA-U2-001</t>
        </is>
      </c>
      <c r="R16" s="210" t="inlineStr">
        <is>
          <t>2026-04-28</t>
        </is>
      </c>
      <c r="S16" s="210" t="inlineStr">
        <is>
          <t>Bind confidence topology to output authority and UI state.</t>
        </is>
      </c>
      <c r="T16" s="210" t="n"/>
      <c r="U16" s="210" t="n"/>
      <c r="V16" s="210" t="n"/>
    </row>
    <row r="17">
      <c r="A17" s="210" t="inlineStr">
        <is>
          <t>RCA-EVAL-QUALITY-003</t>
        </is>
      </c>
      <c r="B17" s="210" t="inlineStr">
        <is>
          <t>SYNTHESIS_COMPRESSION_LOSS</t>
        </is>
      </c>
      <c r="C17" s="210" t="inlineStr">
        <is>
          <t>Evaluation Quality / Pass3</t>
        </is>
      </c>
      <c r="D17" s="210" t="inlineStr">
        <is>
          <t>Pass3 synthesis</t>
        </is>
      </c>
      <c r="E17" s="210" t="inlineStr">
        <is>
          <t>Pass3 uses compressed manuscript reference window and can smooth nuance into generic synthesis.</t>
        </is>
      </c>
      <c r="F17" s="210" t="inlineStr">
        <is>
          <t>Compressed arbitration context is not constrained tightly enough to prevent heuristic fill-in and summary washing.</t>
        </is>
      </c>
      <c r="G17" s="210" t="inlineStr">
        <is>
          <t>SEMANTIC_ACCEPTANCE_GAP</t>
        </is>
      </c>
      <c r="H17" s="210" t="inlineStr">
        <is>
          <t>HIGH</t>
        </is>
      </c>
      <c r="I17" s="210" t="inlineStr">
        <is>
          <t>ENFORCEMENT</t>
        </is>
      </c>
      <c r="J17" s="210" t="inlineStr">
        <is>
          <t>Creates plausible but non-specific evaluation summaries and advice.</t>
        </is>
      </c>
      <c r="K17" s="210" t="inlineStr">
        <is>
          <t>Constrain Pass3: no new claims beyond Pass1/Pass2 evidence summaries; require weakness carry-through and anti-washing gate.</t>
        </is>
      </c>
      <c r="L17" s="210" t="inlineStr">
        <is>
          <t>lib/evaluation/pipeline/runPass3Synthesis.ts; lib/evaluation/pipeline/prompts/pass3-synthesis.ts; lib/evaluation/pipeline/qualityGate.ts</t>
        </is>
      </c>
      <c r="M17" s="210" t="inlineStr">
        <is>
          <t>E2E-05 pass3; E2E-06 quality_gate</t>
        </is>
      </c>
      <c r="N17" s="210" t="inlineStr">
        <is>
          <t>pass3-semantic-contract.test.ts; check-e2e-summary.mjs</t>
        </is>
      </c>
      <c r="O17" s="210" t="inlineStr">
        <is>
          <t>PENDING</t>
        </is>
      </c>
      <c r="P17" s="210" t="inlineStr">
        <is>
          <t>PV115 provenance explicitly states Pass3 synthesis uses compressed manuscript reference window; report still provides tactical advice.</t>
        </is>
      </c>
      <c r="Q17" s="210" t="inlineStr">
        <is>
          <t>RCA-U2-002; RCA-U2-004</t>
        </is>
      </c>
      <c r="R17" s="210" t="inlineStr">
        <is>
          <t>2026-04-28</t>
        </is>
      </c>
      <c r="S17" s="210" t="inlineStr">
        <is>
          <t>Trace Pass3 input/output for successful artifact job before finalizing gate placement.</t>
        </is>
      </c>
      <c r="T17" s="210" t="n"/>
      <c r="U17" s="210" t="n"/>
      <c r="V17" s="210" t="n"/>
    </row>
    <row r="18">
      <c r="A18" s="210" t="inlineStr">
        <is>
          <t>RCA-EVAL-QUALITY-004</t>
        </is>
      </c>
      <c r="B18" s="210" t="inlineStr">
        <is>
          <t>OUTPUT_BOUNDARY_LEAKAGE</t>
        </is>
      </c>
      <c r="C18" s="210" t="inlineStr">
        <is>
          <t>Evaluation Quality / Report Surface</t>
        </is>
      </c>
      <c r="D18" s="210" t="inlineStr">
        <is>
          <t>Finalizer / UI</t>
        </is>
      </c>
      <c r="E18" s="210" t="inlineStr">
        <is>
          <t>Internal diagnostic/mechanism language can leak into final user-facing artifact.</t>
        </is>
      </c>
      <c r="F18" s="210" t="inlineStr">
        <is>
          <t>Output boundary does not sanitize internal ontology / mechanism vocabulary before publication.</t>
        </is>
      </c>
      <c r="G18" s="210" t="inlineStr">
        <is>
          <t>SEMANTIC_ACCEPTANCE_GAP</t>
        </is>
      </c>
      <c r="H18" s="210" t="inlineStr">
        <is>
          <t>HIGH</t>
        </is>
      </c>
      <c r="I18" s="210" t="inlineStr">
        <is>
          <t>ENFORCEMENT</t>
        </is>
      </c>
      <c r="J18" s="210" t="inlineStr">
        <is>
          <t>Boundary failure: users see system scaffolding rather than clean editorial prose.</t>
        </is>
      </c>
      <c r="K18" s="210" t="inlineStr">
        <is>
          <t>Add output-surface cleanliness gate/sanitizer: internal ontology terms in final report fail or are removed before rendering.</t>
        </is>
      </c>
      <c r="L18" s="210" t="inlineStr">
        <is>
          <t>lib/evaluation/pipeline/qualityGate.ts; finalizer/report adapter; components/report/*</t>
        </is>
      </c>
      <c r="M18" s="210" t="inlineStr">
        <is>
          <t>E2E-06 quality_gate; E2E-09 report rendering</t>
        </is>
      </c>
      <c r="N18" s="210" t="inlineStr">
        <is>
          <t>report rendering tests; qualityGate.coverage.test.ts</t>
        </is>
      </c>
      <c r="O18" s="210" t="inlineStr">
        <is>
          <t>PENDING</t>
        </is>
      </c>
      <c r="P18" s="210" t="inlineStr">
        <is>
          <t>Evidence packet identifies internal/system language leakage as hard boundary failure; exact repo gate path requires read-only trace.</t>
        </is>
      </c>
      <c r="Q18" s="210" t="inlineStr">
        <is>
          <t>RCA-U2-005</t>
        </is>
      </c>
      <c r="R18" s="210" t="inlineStr">
        <is>
          <t>2026-04-28</t>
        </is>
      </c>
      <c r="S18" s="210" t="inlineStr">
        <is>
          <t>Run read-only trace for successful artifact job to classify design gap vs wiring failure.</t>
        </is>
      </c>
      <c r="T18" s="210" t="n"/>
      <c r="U18" s="210" t="n"/>
      <c r="V18" s="210" t="n"/>
    </row>
    <row r="19">
      <c r="A19" s="210" t="inlineStr">
        <is>
          <t>RCA-EVAL-QUALITY-005</t>
        </is>
      </c>
      <c r="B19" s="210" t="inlineStr">
        <is>
          <t>EVIDENCE_TO_RECOMMENDATION_TRACEABILITY</t>
        </is>
      </c>
      <c r="C19" s="210" t="inlineStr">
        <is>
          <t>Evaluation Quality / Evidence Binding</t>
        </is>
      </c>
      <c r="D19" s="210" t="inlineStr">
        <is>
          <t>Pass2 + Pass3 + Gate</t>
        </is>
      </c>
      <c r="E19" s="210" t="inlineStr">
        <is>
          <t>Recommendations are not traceably bound to manuscript evidence or a concrete textual mechanism.</t>
        </is>
      </c>
      <c r="F19" s="210" t="inlineStr">
        <is>
          <t>Evidence anchors and reason codes do not consistently propagate into recommendation acceptance.</t>
        </is>
      </c>
      <c r="G19" s="210" t="inlineStr">
        <is>
          <t>SEMANTIC_ACCEPTANCE_GAP</t>
        </is>
      </c>
      <c r="H19" s="210" t="inlineStr">
        <is>
          <t>HIGH</t>
        </is>
      </c>
      <c r="I19" s="210" t="inlineStr">
        <is>
          <t>ENFORCEMENT</t>
        </is>
      </c>
      <c r="J19" s="210" t="inlineStr">
        <is>
          <t>Weak traceability allows apparently actionable but unsupported recommendations.</t>
        </is>
      </c>
      <c r="K19" s="210" t="inlineStr">
        <is>
          <t>Require evidence → mechanism → recommendation chain for every user-visible recommendation.</t>
        </is>
      </c>
      <c r="L19" s="210" t="inlineStr">
        <is>
          <t>lib/evaluation/pipeline/runPass2.ts; lib/evaluation/pipeline/runPass3Synthesis.ts; lib/evaluation/pipeline/qualityGate.ts; schemas/evaluation-result-v2.ts</t>
        </is>
      </c>
      <c r="M19" s="210" t="inlineStr">
        <is>
          <t>E2E-04 pass2; E2E-05 pass3; E2E-06 quality_gate</t>
        </is>
      </c>
      <c r="N19" s="210" t="inlineStr">
        <is>
          <t>runPass2.anchor-enforcement.test.ts; qualityGate.coverage.test.ts</t>
        </is>
      </c>
      <c r="O19" s="210" t="inlineStr">
        <is>
          <t>PENDING</t>
        </is>
      </c>
      <c r="P19" s="210" t="inlineStr">
        <is>
          <t>PV115 output contained recommendations that were directionally plausible but not sufficiently manuscript-bound.</t>
        </is>
      </c>
      <c r="Q19" s="210" t="inlineStr">
        <is>
          <t>RCA-U2-006; RCA-U2-004</t>
        </is>
      </c>
      <c r="R19" s="210" t="inlineStr">
        <is>
          <t>2026-04-28</t>
        </is>
      </c>
      <c r="S19" s="210" t="inlineStr">
        <is>
          <t>Implement traceability gate after live proof/repo trace clarifies existing gate behavior.</t>
        </is>
      </c>
      <c r="T19" s="210" t="n"/>
      <c r="U19" s="210" t="n"/>
      <c r="V19" s="210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</cols>
  <sheetData>
    <row r="1" ht="25.64999961853027" customHeight="1" s="213">
      <c r="A1" s="291" t="inlineStr">
        <is>
          <t>Stage ID</t>
        </is>
      </c>
      <c r="B1" s="291" t="inlineStr">
        <is>
          <t>E2E Stage</t>
        </is>
      </c>
      <c r="C1" s="291" t="inlineStr">
        <is>
          <t>What It Tells You</t>
        </is>
      </c>
      <c r="D1" s="291" t="inlineStr">
        <is>
          <t>Canonical / Likely Relevant Files</t>
        </is>
      </c>
      <c r="E1" s="291" t="inlineStr">
        <is>
          <t>Proof / Regression Scripts</t>
        </is>
      </c>
      <c r="F1" s="291" t="inlineStr">
        <is>
          <t>RCA Link Use</t>
        </is>
      </c>
      <c r="G1" s="291" t="inlineStr">
        <is>
          <t>Notes</t>
        </is>
      </c>
    </row>
    <row r="2" ht="41.40000152587891" customHeight="1" s="213">
      <c r="A2" s="122" t="inlineStr">
        <is>
          <t>E2E-01</t>
        </is>
      </c>
      <c r="B2" s="122" t="inlineStr">
        <is>
          <t>job creation → kickoff</t>
        </is>
      </c>
      <c r="C2" s="122" t="inlineStr">
        <is>
          <t>Queue/scheduling overhead</t>
        </is>
      </c>
      <c r="D2" s="122" t="inlineStr">
        <is>
          <t>app/api/jobs/route.ts; app/api/evaluate/route.ts; app/api/internal/jobs/route.ts; lib/jobs/triggerWorker.ts; lib/jobs/store.ts; lib/jobs/jobStore.supabase.ts</t>
        </is>
      </c>
      <c r="E2" s="122" t="inlineStr">
        <is>
          <t>scripts/jobs-smoke-real.mjs; scripts/jobs-smoke-service-role.mjs; scripts/jobs-supabase-contract-smoke.mjs</t>
        </is>
      </c>
      <c r="F2" s="122" t="inlineStr">
        <is>
          <t>Use for queued/triggered/stuck-before-claim RCA rows</t>
        </is>
      </c>
      <c r="G2" s="122" t="inlineStr">
        <is>
          <t>Include auth, private-beta, service-role, and kickoff URL failures.</t>
        </is>
      </c>
    </row>
    <row r="3" ht="41.40000152587891" customHeight="1" s="213">
      <c r="A3" s="122" t="inlineStr">
        <is>
          <t>E2E-02</t>
        </is>
      </c>
      <c r="B3" s="122" t="inlineStr">
        <is>
          <t>kickoff → claim</t>
        </is>
      </c>
      <c r="C3" s="122" t="inlineStr">
        <is>
          <t>Worker availability lag</t>
        </is>
      </c>
      <c r="D3" s="122" t="inlineStr">
        <is>
          <t>app/api/workers/process-evaluations/route.ts; lib/jobs/jobStore.supabase.ts; supabase/migrations/*claim*; supabase/migrations/*evaluation_jobs*</t>
        </is>
      </c>
      <c r="E3" s="122" t="inlineStr">
        <is>
          <t>scripts/jobs-test-contention.mjs; scripts/jobs-lease-contention-test.mjs; scripts/jobs-validate-invariants.mjs</t>
        </is>
      </c>
      <c r="F3" s="122" t="inlineStr">
        <is>
          <t>Use for claim/lease/heartbeat/worker_id RCA rows</t>
        </is>
      </c>
      <c r="G3" s="122" t="inlineStr">
        <is>
          <t>Known prior classes: active_claim_invalid, blocked_triggered, claim RPC schema drift.</t>
        </is>
      </c>
    </row>
    <row r="4" ht="27.60000038146973" customHeight="1" s="213">
      <c r="A4" s="122" t="inlineStr">
        <is>
          <t>E2E-03</t>
        </is>
      </c>
      <c r="B4" s="122" t="inlineStr">
        <is>
          <t>claim → pipeline_run start</t>
        </is>
      </c>
      <c r="C4" s="122" t="inlineStr">
        <is>
          <t>Fetch manuscript cost</t>
        </is>
      </c>
      <c r="D4" s="122" t="inlineStr">
        <is>
          <t>lib/evaluation/processor.ts; lib/jobs/phase1.ts; lib/jobs/phase2.ts; lib/config/evaluationRuntimeConfig.ts; lib/config/config.ts</t>
        </is>
      </c>
      <c r="E4" s="122" t="inlineStr">
        <is>
          <t>__tests__/lib/evaluation/processor.test.ts; __tests__/lib/evaluation/processor.atomic-claim.test.ts</t>
        </is>
      </c>
      <c r="F4" s="122" t="inlineStr">
        <is>
          <t>Use for manuscript fetch, phase start, config, timeout RCA rows</t>
        </is>
      </c>
      <c r="G4" s="122" t="inlineStr">
        <is>
          <t>Separate manuscript fetch from LLM execution.</t>
        </is>
      </c>
    </row>
    <row r="5" ht="55.20000076293945" customHeight="1" s="213">
      <c r="A5" s="122" t="inlineStr">
        <is>
          <t>E2E-04</t>
        </is>
      </c>
      <c r="B5" s="122" t="inlineStr">
        <is>
          <t>pass1 + pass2 (parallel)</t>
        </is>
      </c>
      <c r="C5" s="122" t="inlineStr">
        <is>
          <t>OpenAI parallel call cost and upstream output stability</t>
        </is>
      </c>
      <c r="D5" s="122" t="inlineStr">
        <is>
          <t>lib/evaluation/pipeline/runPass1.ts; lib/evaluation/pipeline/runPass2.ts; lib/evaluation/pipeline/prompts/pass1-craft.ts; lib/evaluation/pipeline/prompts/pass2-editorial.ts; lib/evaluation/pipeline/runPipeline.ts; lib/llm/jsonParseBoundary.ts</t>
        </is>
      </c>
      <c r="E5" s="122" t="inlineStr">
        <is>
          <t>__tests__/lib/evaluation/processor.canonical-pipeline.test.ts; tests/evaluation/pipeline/pipeline-e2e.test.ts; scripts/pipeline/run-phase2-7-real-run.ts</t>
        </is>
      </c>
      <c r="F5" s="122" t="inlineStr">
        <is>
          <t>Use for PASS1_FAILED, PASS2, JSON, LLR, prompt/token RCA rows</t>
        </is>
      </c>
      <c r="G5" s="122" t="inlineStr">
        <is>
          <t>Primary current blocker: PASS1 output feasibility, finish_reason=length.</t>
        </is>
      </c>
    </row>
    <row r="6" ht="55.20000076293945" customHeight="1" s="213">
      <c r="A6" s="122" t="inlineStr">
        <is>
          <t>E2E-05</t>
        </is>
      </c>
      <c r="B6" s="122" t="inlineStr">
        <is>
          <t>pass3</t>
        </is>
      </c>
      <c r="C6" s="122" t="inlineStr">
        <is>
          <t>Synthesis cost, reconciliation, anti-washing behavior</t>
        </is>
      </c>
      <c r="D6" s="122" t="inlineStr">
        <is>
          <t>lib/evaluation/pipeline/runPass3Synthesis.ts; lib/evaluation/pipeline/prompts/pass3-synthesis.ts; lib/evaluation/pipeline/pass3ContractValidator.ts; lib/evaluation/pipeline/normalization.ts</t>
        </is>
      </c>
      <c r="E6" s="122" t="inlineStr">
        <is>
          <t>__tests__/lib/evaluation/pipeline/pass3-semantic-contract.test.ts; __tests__/lib/evaluation/pipeline/pass3-backfill-quality.test.ts; __tests__/lib/evaluation/pipeline/pass3.test.ts</t>
        </is>
      </c>
      <c r="F6" s="122" t="inlineStr">
        <is>
          <t>Use for U2 propagation, synthesis smoothing, score-summary mismatch RCA rows</t>
        </is>
      </c>
      <c r="G6" s="122" t="inlineStr">
        <is>
          <t>Next phase: U2 propagation enforcement and Pass3 weakness-reference constraint.</t>
        </is>
      </c>
    </row>
    <row r="7" ht="41.40000152587891" customHeight="1" s="213">
      <c r="A7" s="122" t="inlineStr">
        <is>
          <t>E2E-06</t>
        </is>
      </c>
      <c r="B7" s="122" t="inlineStr">
        <is>
          <t>quality_gate</t>
        </is>
      </c>
      <c r="C7" s="122" t="inlineStr">
        <is>
          <t>Gate overhead and deterministic acceptance/rejection</t>
        </is>
      </c>
      <c r="D7" s="122" t="inlineStr">
        <is>
          <t>lib/evaluation/pipeline/qualityGate.ts; lib/evaluation/pipeline/gates.ts; lib/evaluation/pipeline/validateEvaluationArtifact.ts; lib/evaluation/pipeline/persistArtifactValidation.ts</t>
        </is>
      </c>
      <c r="E7" s="122" t="inlineStr">
        <is>
          <t>__tests__/lib/evaluation/pipeline/qualityGate.coverage.test.ts; scripts/pipeline/gate-replay-check.ts; scripts/pipeline/gate-replay-check.ts --fail-on-any</t>
        </is>
      </c>
      <c r="F7" s="122" t="inlineStr">
        <is>
          <t>Use for QG_* RCA rows and fidelity gate rows</t>
        </is>
      </c>
      <c r="G7" s="122" t="inlineStr">
        <is>
          <t>Gate failures must carry structured envelope + diagnostics when applicable.</t>
        </is>
      </c>
    </row>
    <row r="8" ht="41.40000152587891" customHeight="1" s="213">
      <c r="A8" s="122" t="inlineStr">
        <is>
          <t>E2E-07</t>
        </is>
      </c>
      <c r="B8" s="122" t="inlineStr">
        <is>
          <t>pass4_cross_check</t>
        </is>
      </c>
      <c r="C8" s="122" t="inlineStr">
        <is>
          <t>Perplexity call and retry cost</t>
        </is>
      </c>
      <c r="D8" s="122" t="inlineStr">
        <is>
          <t>lib/evaluation/pipeline/perplexityCrossCheck.ts; lib/evaluation/governance/evaluatePass4Governance.ts; lib/governance/canonRegistry.ts; lib/governance/injectionMap.ts</t>
        </is>
      </c>
      <c r="E8" s="122" t="inlineStr">
        <is>
          <t>scripts/pipeline/run-dominatus-i4-eval.ts; scripts/eval-chapter10b.ts</t>
        </is>
      </c>
      <c r="F8" s="122" t="inlineStr">
        <is>
          <t>Use for cross-check/provider/governance RCA rows</t>
        </is>
      </c>
      <c r="G8" s="122" t="inlineStr">
        <is>
          <t>Provider-compatible prompt doctrine applies here.</t>
        </is>
      </c>
    </row>
    <row r="9" ht="41.40000152587891" customHeight="1" s="213">
      <c r="A9" s="122" t="inlineStr">
        <is>
          <t>E2E-08</t>
        </is>
      </c>
      <c r="B9" s="122" t="inlineStr">
        <is>
          <t>persist_artifacts + finalize</t>
        </is>
      </c>
      <c r="C9" s="122" t="inlineStr">
        <is>
          <t>DB write overhead and artifact/job atomicity</t>
        </is>
      </c>
      <c r="D9" s="122" t="inlineStr">
        <is>
          <t>lib/evaluation/persistEvaluationResultV2.ts; lib/evaluation/artifactPersistence.ts; schemas/evaluation-result-v2.ts; lib/evaluation/schemas/evaluation-result-v2.ts; supabase/migrations/*</t>
        </is>
      </c>
      <c r="E9" s="122" t="inlineStr">
        <is>
          <t>__tests__/lib/evaluation/persistEvaluationResultV2.boundary-gate.test.ts; scripts/jobs-supabase-contract-smoke.mjs; scripts/jobs-smoke-service-role.mjs</t>
        </is>
      </c>
      <c r="F9" s="122" t="inlineStr">
        <is>
          <t>Use for persistence/finalize/artifact shape/RPC RCA rows</t>
        </is>
      </c>
      <c r="G9" s="122" t="inlineStr">
        <is>
          <t>Block B now enforced; include PR #241/#242/#243 references in RCA rows.</t>
        </is>
      </c>
    </row>
    <row r="10" ht="41.40000152587891" customHeight="1" s="213">
      <c r="A10" s="122" t="inlineStr">
        <is>
          <t>E2E-09</t>
        </is>
      </c>
      <c r="B10" s="122" t="inlineStr">
        <is>
          <t>report rendering</t>
        </is>
      </c>
      <c r="C10" s="122" t="inlineStr">
        <is>
          <t>Final user-visible authority and warning classification</t>
        </is>
      </c>
      <c r="D10" s="122" t="inlineStr">
        <is>
          <t>app/evaluate/[jobId]/page.tsx; app/evaluation/[jobId]/page.tsx; app/jobs/[jobId]/page.tsx; components/evaluation/*; components/report/*; warningClassification.ts</t>
        </is>
      </c>
      <c r="E10" s="122" t="inlineStr">
        <is>
          <t>warningClassification.test.ts; processor.real-gate.test.ts</t>
        </is>
      </c>
      <c r="F10" s="122" t="inlineStr">
        <is>
          <t>Use for UI authority/high-confidence contradiction RCA rows</t>
        </is>
      </c>
      <c r="G10" s="122" t="inlineStr">
        <is>
          <t>Tie to U2: PASS + low confidence must not render high-authority UI.</t>
        </is>
      </c>
    </row>
    <row r="11" ht="27.60000038146973" customHeight="1" s="213">
      <c r="A11" s="122" t="inlineStr">
        <is>
          <t>E2E-10</t>
        </is>
      </c>
      <c r="B11" s="122" t="inlineStr">
        <is>
          <t>proof harness / soak</t>
        </is>
      </c>
      <c r="C11" s="122" t="inlineStr">
        <is>
          <t>End-to-end regression, reliability, and invariant proof</t>
        </is>
      </c>
      <c r="D11" s="122" t="inlineStr">
        <is>
          <t>scripts/e2e-golden-run.sh; scripts/check-e2e-summary.mjs; scripts/soak/run-soak.ts; scripts/gate-reliability.sh; docs/operations/evidence/runs/*</t>
        </is>
      </c>
      <c r="E11" s="122" t="inlineStr">
        <is>
          <t>npm run soak:qualify; scripts/e2e-golden-run.sh; scripts/check-e2e-summary.mjs</t>
        </is>
      </c>
      <c r="F11" s="122" t="inlineStr">
        <is>
          <t>Use for reliability-gate, proof-pack, 100k soak RCA rows</t>
        </is>
      </c>
      <c r="G11" s="122" t="inlineStr">
        <is>
          <t>100k soak passed with zero lost writes/wrong-location edits/unclassified failures.</t>
        </is>
      </c>
    </row>
    <row r="12">
      <c r="A12" s="126" t="n"/>
      <c r="B12" s="126" t="n"/>
      <c r="C12" s="126" t="n"/>
      <c r="D12" s="126" t="n"/>
      <c r="E12" s="126" t="n"/>
      <c r="F12" s="126" t="n"/>
      <c r="G12" s="126" t="n"/>
    </row>
    <row r="13">
      <c r="A13" s="126" t="inlineStr">
        <is>
          <t>Proof Item</t>
        </is>
      </c>
      <c r="B13" s="126" t="inlineStr">
        <is>
          <t>Type</t>
        </is>
      </c>
      <c r="C13" s="126" t="inlineStr">
        <is>
          <t>Bound RCA / Rule</t>
        </is>
      </c>
      <c r="D13" s="126" t="inlineStr">
        <is>
          <t>Status</t>
        </is>
      </c>
      <c r="E13" s="126" t="inlineStr">
        <is>
          <t>Evidence Required</t>
        </is>
      </c>
      <c r="F13" s="126" t="n"/>
      <c r="G13" s="126" t="n"/>
    </row>
    <row r="14">
      <c r="A14" s="126" t="inlineStr">
        <is>
          <t>PV115-GOLDEN-FIXTURE</t>
        </is>
      </c>
      <c r="B14" s="126" t="inlineStr">
        <is>
          <t>Regression/proof fixture</t>
        </is>
      </c>
      <c r="C14" s="126" t="inlineStr">
        <is>
          <t>U2 promotion rule</t>
        </is>
      </c>
      <c r="D14" s="126" t="inlineStr">
        <is>
          <t>PENDING</t>
        </is>
      </c>
      <c r="E14" s="126" t="inlineStr">
        <is>
          <t>Must be green before U2_FIDELITY_ENFORCEMENT moves to ENFORCED.</t>
        </is>
      </c>
      <c r="F14" s="126" t="n"/>
      <c r="G14" s="126" t="n"/>
    </row>
    <row r="15">
      <c r="A15" s="126" t="inlineStr">
        <is>
          <t>PV115 f64c3266 run</t>
        </is>
      </c>
      <c r="B15" s="126" t="inlineStr">
        <is>
          <t>Runtime viability proof</t>
        </is>
      </c>
      <c r="C15" s="126" t="inlineStr">
        <is>
          <t>RCA-A / runtime viability</t>
        </is>
      </c>
      <c r="D15" s="126" t="inlineStr">
        <is>
          <t>COMPLETE/OBSERVED</t>
        </is>
      </c>
      <c r="E15" s="126" t="inlineStr">
        <is>
          <t>Completed in ~2.5 minutes; not quality-certified.</t>
        </is>
      </c>
      <c r="F15" s="126" t="n"/>
      <c r="G15" s="126" t="n"/>
    </row>
    <row r="16">
      <c r="A16" s="126" t="inlineStr">
        <is>
          <t>Future U2 proof job</t>
        </is>
      </c>
      <c r="B16" s="126" t="inlineStr">
        <is>
          <t>Live artifact proof</t>
        </is>
      </c>
      <c r="C16" s="126" t="inlineStr">
        <is>
          <t>RCA-U2-003 / RCA-U2-006</t>
        </is>
      </c>
      <c r="D16" s="126" t="inlineStr">
        <is>
          <t>PENDING</t>
        </is>
      </c>
      <c r="E16" s="126" t="inlineStr">
        <is>
          <t>Must show confidence_label/reasons and anchor enforcement in persisted artifact/progress.</t>
        </is>
      </c>
      <c r="F16" s="126" t="n"/>
      <c r="G16" s="126" t="n"/>
    </row>
    <row r="17">
      <c r="A17" s="126" t="inlineStr">
        <is>
          <t>Future quality proof job</t>
        </is>
      </c>
      <c r="B17" s="126" t="inlineStr">
        <is>
          <t>Quality enforcement proof</t>
        </is>
      </c>
      <c r="C17" s="126" t="inlineStr">
        <is>
          <t>RCA-EVAL-QUALITY-001</t>
        </is>
      </c>
      <c r="D17" s="126" t="inlineStr">
        <is>
          <t>PENDING</t>
        </is>
      </c>
      <c r="E17" s="126" t="inlineStr">
        <is>
          <t>Must reject/correct generic unsupported recommendations and authority mismatch.</t>
        </is>
      </c>
      <c r="F17" s="126" t="n"/>
      <c r="G17" s="126" t="n"/>
    </row>
    <row r="18">
      <c r="A18" s="284" t="inlineStr">
        <is>
          <t>E2E-11</t>
        </is>
      </c>
      <c r="B18" s="284" t="inlineStr">
        <is>
          <t>quality acceptance boundary</t>
        </is>
      </c>
      <c r="C18" s="284" t="inlineStr">
        <is>
          <t>Semantic validity, recommendation specificity, confidence authority and output cleanliness.</t>
        </is>
      </c>
      <c r="D18" s="284" t="inlineStr">
        <is>
          <t>qualityGate.ts; runPass3Synthesis.ts; warningClassification.ts; components/report/*</t>
        </is>
      </c>
      <c r="E18" s="284" t="inlineStr">
        <is>
          <t>qualityGate.coverage.test.ts; gate-replay-check.ts; PV115 quality fixture</t>
        </is>
      </c>
      <c r="F18" s="284" t="inlineStr">
        <is>
          <t>Use for RCA-EVAL-QUALITY-001..005</t>
        </is>
      </c>
      <c r="G18" s="284" t="inlineStr">
        <is>
          <t>Must fail/downgrade generic advice, leakage, confidence mismatch, traceability failure.</t>
        </is>
      </c>
    </row>
    <row r="19">
      <c r="A19" s="284" t="inlineStr">
        <is>
          <t>E2E-12</t>
        </is>
      </c>
      <c r="B19" s="284" t="inlineStr">
        <is>
          <t>Pass1 model/budget reachability</t>
        </is>
      </c>
      <c r="C19" s="284" t="inlineStr">
        <is>
          <t>Whether Pass1 produces usable content under chosen model/budget strategy.</t>
        </is>
      </c>
      <c r="D19" s="284" t="inlineStr">
        <is>
          <t>runPass1.ts; pass1-craft.ts; OpenAI client wrapper; config</t>
        </is>
      </c>
      <c r="E19" s="284" t="inlineStr">
        <is>
          <t>run-phase2-7-real-run.ts; focused Pass1 regression</t>
        </is>
      </c>
      <c r="F19" s="284" t="inlineStr">
        <is>
          <t>Use for RCA-PASS1-TOKEN-001</t>
        </is>
      </c>
      <c r="G19" s="284" t="inlineStr">
        <is>
          <t>No live eval until no-run strategy is selected.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</cols>
  <sheetData>
    <row r="1" ht="14.39999961853027" customHeight="1" s="213">
      <c r="A1" s="291" t="inlineStr">
        <is>
          <t>RCA_ID</t>
        </is>
      </c>
      <c r="B1" s="291" t="inlineStr">
        <is>
          <t>E2E Stage ID</t>
        </is>
      </c>
      <c r="C1" s="291" t="inlineStr">
        <is>
          <t>Relevance</t>
        </is>
      </c>
      <c r="D1" s="291" t="inlineStr">
        <is>
          <t>Known Failing / Known Proof Surface</t>
        </is>
      </c>
      <c r="E1" s="291" t="inlineStr">
        <is>
          <t>Investigation Files / Scripts</t>
        </is>
      </c>
      <c r="F1" s="266" t="n"/>
      <c r="G1" s="266" t="n"/>
      <c r="H1" s="266" t="n"/>
      <c r="I1" s="266" t="n"/>
      <c r="J1" s="266" t="n"/>
      <c r="K1" s="266" t="n"/>
    </row>
    <row r="2" ht="14.39999961853027" customHeight="1" s="213">
      <c r="A2" s="122" t="inlineStr">
        <is>
          <t>RCA-PASS1-TOKEN-001</t>
        </is>
      </c>
      <c r="B2" s="122" t="inlineStr">
        <is>
          <t>E2E-04</t>
        </is>
      </c>
      <c r="C2" s="122" t="inlineStr">
        <is>
          <t>PRIMARY</t>
        </is>
      </c>
      <c r="D2" s="122" t="inlineStr">
        <is>
          <t>Known failing</t>
        </is>
      </c>
      <c r="E2" s="122" t="inlineStr">
        <is>
          <t>runPass1.ts; pass1-craft.ts; runPipeline.ts; jsonParseBoundary.ts; scripts/pipeline/run-phase2-7-real-run.ts</t>
        </is>
      </c>
      <c r="F2" s="126" t="n"/>
      <c r="G2" s="126" t="n"/>
      <c r="H2" s="126" t="n"/>
      <c r="I2" s="126" t="n"/>
      <c r="J2" s="126" t="n"/>
      <c r="K2" s="126" t="n"/>
    </row>
    <row r="3" ht="14.39999961853027" customHeight="1" s="213">
      <c r="A3" s="122" t="inlineStr">
        <is>
          <t>RCA-PASS1-TOKEN-001</t>
        </is>
      </c>
      <c r="B3" s="122" t="inlineStr">
        <is>
          <t>E2E-10</t>
        </is>
      </c>
      <c r="C3" s="122" t="inlineStr">
        <is>
          <t>SECONDARY</t>
        </is>
      </c>
      <c r="D3" s="122" t="inlineStr">
        <is>
          <t>Proof harness</t>
        </is>
      </c>
      <c r="E3" s="122" t="inlineStr">
        <is>
          <t>scripts/e2e-golden-run.sh; scripts/check-e2e-summary.mjs; scripts/jobs-smoke-service-role.mjs</t>
        </is>
      </c>
      <c r="F3" s="126" t="n"/>
      <c r="G3" s="126" t="n"/>
      <c r="H3" s="126" t="n"/>
      <c r="I3" s="126" t="n"/>
      <c r="J3" s="126" t="n"/>
      <c r="K3" s="126" t="n"/>
    </row>
    <row r="4" ht="14.39999961853027" customHeight="1" s="213">
      <c r="A4" s="122" t="inlineStr">
        <is>
          <t>RCA-LLR-004-001</t>
        </is>
      </c>
      <c r="B4" s="122" t="inlineStr">
        <is>
          <t>E2E-04</t>
        </is>
      </c>
      <c r="C4" s="122" t="inlineStr">
        <is>
          <t>PRIMARY</t>
        </is>
      </c>
      <c r="D4" s="122" t="inlineStr">
        <is>
          <t>Known failing / ambiguous cause</t>
        </is>
      </c>
      <c r="E4" s="122" t="inlineStr">
        <is>
          <t>runPass2.ts; pass2-editorial.ts; ACTIVE_RULES.ts; canonRegistry.ts; scripts/pipeline/run-phase2-7-real-run.ts</t>
        </is>
      </c>
      <c r="F4" s="126" t="n"/>
      <c r="G4" s="126" t="n"/>
      <c r="H4" s="126" t="n"/>
      <c r="I4" s="126" t="n"/>
      <c r="J4" s="126" t="n"/>
      <c r="K4" s="126" t="n"/>
    </row>
    <row r="5" ht="14.39999961853027" customHeight="1" s="213">
      <c r="A5" s="122" t="inlineStr">
        <is>
          <t>RCA-LLR-004-001</t>
        </is>
      </c>
      <c r="B5" s="122" t="inlineStr">
        <is>
          <t>E2E-06</t>
        </is>
      </c>
      <c r="C5" s="122" t="inlineStr">
        <is>
          <t>SECONDARY</t>
        </is>
      </c>
      <c r="D5" s="122" t="inlineStr">
        <is>
          <t>Rule/gate calibration context</t>
        </is>
      </c>
      <c r="E5" s="122" t="inlineStr">
        <is>
          <t>qualityGate.ts; lessonsLearned/*; qualityGate.coverage.test.ts</t>
        </is>
      </c>
      <c r="F5" s="126" t="n"/>
      <c r="G5" s="126" t="n"/>
      <c r="H5" s="126" t="n"/>
      <c r="I5" s="126" t="n"/>
      <c r="J5" s="126" t="n"/>
      <c r="K5" s="126" t="n"/>
    </row>
    <row r="6" ht="14.39999961853027" customHeight="1" s="213">
      <c r="A6" s="122" t="inlineStr">
        <is>
          <t>RCA-DIALOGUE-GATE-001</t>
        </is>
      </c>
      <c r="B6" s="122" t="inlineStr">
        <is>
          <t>E2E-06</t>
        </is>
      </c>
      <c r="C6" s="122" t="inlineStr">
        <is>
          <t>PRIMARY</t>
        </is>
      </c>
      <c r="D6" s="122" t="inlineStr">
        <is>
          <t>Known resolved/proof surface</t>
        </is>
      </c>
      <c r="E6" s="122" t="inlineStr">
        <is>
          <t>qualityGate.ts; gates.ts; qualityGate.coverage.test.ts; gate-replay-check.ts</t>
        </is>
      </c>
      <c r="F6" s="126" t="n"/>
      <c r="G6" s="126" t="n"/>
      <c r="H6" s="126" t="n"/>
      <c r="I6" s="126" t="n"/>
      <c r="J6" s="126" t="n"/>
      <c r="K6" s="126" t="n"/>
    </row>
    <row r="7" ht="14.39999961853027" customHeight="1" s="213">
      <c r="A7" s="122" t="inlineStr">
        <is>
          <t>RCA-DIALOGUE-GATE-001</t>
        </is>
      </c>
      <c r="B7" s="122" t="inlineStr">
        <is>
          <t>E2E-07</t>
        </is>
      </c>
      <c r="C7" s="122" t="inlineStr">
        <is>
          <t>SECONDARY</t>
        </is>
      </c>
      <c r="D7" s="122" t="inlineStr">
        <is>
          <t>Cross-check context</t>
        </is>
      </c>
      <c r="E7" s="122" t="inlineStr">
        <is>
          <t>evaluatePass4Governance.ts; perplexityCrossCheck.ts</t>
        </is>
      </c>
      <c r="F7" s="126" t="n"/>
      <c r="G7" s="126" t="n"/>
      <c r="H7" s="126" t="n"/>
      <c r="I7" s="126" t="n"/>
      <c r="J7" s="126" t="n"/>
      <c r="K7" s="126" t="n"/>
    </row>
    <row r="8" ht="14.39999961853027" customHeight="1" s="213">
      <c r="A8" s="126" t="inlineStr">
        <is>
          <t>RCA-ATOMIC-PERSISTENCE-001</t>
        </is>
      </c>
      <c r="B8" s="126" t="inlineStr">
        <is>
          <t>E2E-08</t>
        </is>
      </c>
      <c r="C8" s="126" t="inlineStr">
        <is>
          <t>PRIMARY</t>
        </is>
      </c>
      <c r="D8" s="126" t="inlineStr">
        <is>
          <t>Known resolved/proof surface</t>
        </is>
      </c>
      <c r="E8" s="126" t="inlineStr">
        <is>
          <t>persistEvaluationResultV2.ts; artifactPersistence.ts; persist_evaluation_v2_atomic migrations; persistEvaluationResultV2.boundary-gate.test.ts</t>
        </is>
      </c>
      <c r="F8" s="126" t="n"/>
      <c r="G8" s="126" t="n"/>
      <c r="H8" s="126" t="n"/>
      <c r="I8" s="126" t="n"/>
      <c r="J8" s="126" t="n"/>
      <c r="K8" s="126" t="n"/>
    </row>
    <row r="9" ht="14.39999961853027" customHeight="1" s="213">
      <c r="A9" s="126" t="inlineStr">
        <is>
          <t>RCA-ATOMIC-PERSISTENCE-001</t>
        </is>
      </c>
      <c r="B9" s="126" t="inlineStr">
        <is>
          <t>E2E-10</t>
        </is>
      </c>
      <c r="C9" s="126" t="inlineStr">
        <is>
          <t>SECONDARY</t>
        </is>
      </c>
      <c r="D9" s="126" t="inlineStr">
        <is>
          <t>Reliability proof</t>
        </is>
      </c>
      <c r="E9" s="126" t="inlineStr">
        <is>
          <t>soak:qualify; gate-reliability.sh; jobs-smoke-service-role.mjs</t>
        </is>
      </c>
      <c r="F9" s="126" t="n"/>
      <c r="G9" s="126" t="n"/>
      <c r="H9" s="126" t="n"/>
      <c r="I9" s="126" t="n"/>
      <c r="J9" s="126" t="n"/>
      <c r="K9" s="126" t="n"/>
    </row>
    <row r="10" ht="14.39999961853027" customHeight="1" s="213">
      <c r="A10" s="126" t="inlineStr">
        <is>
          <t>RCA-FAILURE-ENVELOPE-001</t>
        </is>
      </c>
      <c r="B10" s="126" t="inlineStr">
        <is>
          <t>E2E-03</t>
        </is>
      </c>
      <c r="C10" s="126" t="inlineStr">
        <is>
          <t>PRIMARY</t>
        </is>
      </c>
      <c r="D10" s="126" t="inlineStr">
        <is>
          <t>Partial diagnostic proof</t>
        </is>
      </c>
      <c r="E10" s="126" t="inlineStr">
        <is>
          <t>processor.ts; finalizeJobFailure.ts; failures.ts; processor.test.ts</t>
        </is>
      </c>
      <c r="F10" s="126" t="n"/>
      <c r="G10" s="126" t="n"/>
      <c r="H10" s="126" t="n"/>
      <c r="I10" s="126" t="n"/>
      <c r="J10" s="126" t="n"/>
      <c r="K10" s="126" t="n"/>
    </row>
    <row r="11" ht="14.39999961853027" customHeight="1" s="213">
      <c r="A11" s="126" t="inlineStr">
        <is>
          <t>RCA-FAILURE-ENVELOPE-001</t>
        </is>
      </c>
      <c r="B11" s="126" t="inlineStr">
        <is>
          <t>E2E-06</t>
        </is>
      </c>
      <c r="C11" s="126" t="inlineStr">
        <is>
          <t>SECONDARY</t>
        </is>
      </c>
      <c r="D11" s="126" t="inlineStr">
        <is>
          <t>Gate failure envelope proof</t>
        </is>
      </c>
      <c r="E11" s="126" t="inlineStr">
        <is>
          <t>qualityGate.ts; qualityGate.coverage.test.ts; pipeline-e2e.test.ts</t>
        </is>
      </c>
      <c r="F11" s="126" t="n"/>
      <c r="G11" s="126" t="n"/>
      <c r="H11" s="126" t="n"/>
      <c r="I11" s="126" t="n"/>
      <c r="J11" s="126" t="n"/>
      <c r="K11" s="126" t="n"/>
    </row>
    <row r="12" ht="14.39999961853027" customHeight="1" s="213">
      <c r="A12" s="126" t="inlineStr">
        <is>
          <t>RCA-U2-001</t>
        </is>
      </c>
      <c r="B12" s="126" t="inlineStr">
        <is>
          <t>E2E-06</t>
        </is>
      </c>
      <c r="C12" s="126" t="inlineStr">
        <is>
          <t>PRIMARY</t>
        </is>
      </c>
      <c r="D12" s="126" t="inlineStr">
        <is>
          <t>New U2 gate failure class</t>
        </is>
      </c>
      <c r="E12" s="126" t="inlineStr">
        <is>
          <t>qualityGate.ts; qualityGate.coverage.test.ts; QG_FIDELITY_SCORE_CONFIDENCE_MISMATCH</t>
        </is>
      </c>
      <c r="F12" s="126" t="n"/>
      <c r="G12" s="126" t="n"/>
      <c r="H12" s="126" t="n"/>
      <c r="I12" s="126" t="n"/>
      <c r="J12" s="126" t="n"/>
      <c r="K12" s="126" t="n"/>
    </row>
    <row r="13" ht="14.39999961853027" customHeight="1" s="213">
      <c r="A13" s="126" t="inlineStr">
        <is>
          <t>RCA-U2-001</t>
        </is>
      </c>
      <c r="B13" s="126" t="inlineStr">
        <is>
          <t>E2E-10</t>
        </is>
      </c>
      <c r="C13" s="126" t="inlineStr">
        <is>
          <t>SECONDARY</t>
        </is>
      </c>
      <c r="D13" s="126" t="inlineStr">
        <is>
          <t>Proof harness</t>
        </is>
      </c>
      <c r="E13" s="126" t="inlineStr">
        <is>
          <t>scripts/e2e-golden-run.sh; PV115 golden fixture</t>
        </is>
      </c>
      <c r="F13" s="126" t="n"/>
      <c r="G13" s="126" t="n"/>
      <c r="H13" s="126" t="n"/>
      <c r="I13" s="126" t="n"/>
      <c r="J13" s="126" t="n"/>
      <c r="K13" s="126" t="n"/>
    </row>
    <row r="14" ht="14.39999961853027" customHeight="1" s="213">
      <c r="A14" s="126" t="inlineStr">
        <is>
          <t>RCA-U2-002</t>
        </is>
      </c>
      <c r="B14" s="126" t="inlineStr">
        <is>
          <t>E2E-05</t>
        </is>
      </c>
      <c r="C14" s="126" t="inlineStr">
        <is>
          <t>PRIMARY</t>
        </is>
      </c>
      <c r="D14" s="126" t="inlineStr">
        <is>
          <t>Pass3 anti-washing proof</t>
        </is>
      </c>
      <c r="E14" s="126" t="inlineStr">
        <is>
          <t>runPass3Synthesis.ts; pass3-semantic-contract.test.ts; QG_SUMMARY_OMITS_WEAKNESS</t>
        </is>
      </c>
      <c r="F14" s="126" t="n"/>
      <c r="G14" s="126" t="n"/>
      <c r="H14" s="126" t="n"/>
      <c r="I14" s="126" t="n"/>
      <c r="J14" s="126" t="n"/>
      <c r="K14" s="126" t="n"/>
    </row>
    <row r="15" ht="14.39999961853027" customHeight="1" s="213">
      <c r="A15" s="126" t="inlineStr">
        <is>
          <t>RCA-U2-002</t>
        </is>
      </c>
      <c r="B15" s="126" t="inlineStr">
        <is>
          <t>E2E-06</t>
        </is>
      </c>
      <c r="C15" s="126" t="inlineStr">
        <is>
          <t>SECONDARY</t>
        </is>
      </c>
      <c r="D15" s="126" t="inlineStr">
        <is>
          <t>Gate catches summary omission</t>
        </is>
      </c>
      <c r="E15" s="126" t="inlineStr">
        <is>
          <t>qualityGate.ts; qualityGate.coverage.test.ts</t>
        </is>
      </c>
      <c r="F15" s="126" t="n"/>
      <c r="G15" s="126" t="n"/>
      <c r="H15" s="126" t="n"/>
      <c r="I15" s="126" t="n"/>
      <c r="J15" s="126" t="n"/>
      <c r="K15" s="126" t="n"/>
    </row>
    <row r="16" ht="14.39999961853027" customHeight="1" s="213">
      <c r="A16" s="126" t="inlineStr">
        <is>
          <t>RCA-U2-003</t>
        </is>
      </c>
      <c r="B16" s="126" t="inlineStr">
        <is>
          <t>E2E-05</t>
        </is>
      </c>
      <c r="C16" s="126" t="inlineStr">
        <is>
          <t>PRIMARY</t>
        </is>
      </c>
      <c r="D16" s="126" t="inlineStr">
        <is>
          <t>Derived confidence source</t>
        </is>
      </c>
      <c r="E16" s="126" t="inlineStr">
        <is>
          <t>runPipeline.ts; synthesisToEvaluationResultV2; evaluation-result-v2.ts</t>
        </is>
      </c>
      <c r="F16" s="126" t="n"/>
      <c r="G16" s="126" t="n"/>
      <c r="H16" s="126" t="n"/>
      <c r="I16" s="126" t="n"/>
      <c r="J16" s="126" t="n"/>
      <c r="K16" s="126" t="n"/>
    </row>
    <row r="17" ht="14.39999961853027" customHeight="1" s="213">
      <c r="A17" s="126" t="inlineStr">
        <is>
          <t>RCA-U2-004</t>
        </is>
      </c>
      <c r="B17" s="126" t="inlineStr">
        <is>
          <t>E2E-06</t>
        </is>
      </c>
      <c r="C17" s="126" t="inlineStr">
        <is>
          <t>PRIMARY</t>
        </is>
      </c>
      <c r="D17" s="126" t="inlineStr">
        <is>
          <t>Propagation integrity profile</t>
        </is>
      </c>
      <c r="E17" s="126" t="inlineStr">
        <is>
          <t>qualityGate.ts; runPipeline.ts; upstreamIntegrity strong|mixed|weak</t>
        </is>
      </c>
      <c r="F17" s="126" t="n"/>
      <c r="G17" s="126" t="n"/>
      <c r="H17" s="126" t="n"/>
      <c r="I17" s="126" t="n"/>
      <c r="J17" s="126" t="n"/>
      <c r="K17" s="126" t="n"/>
    </row>
    <row r="18" ht="14.39999961853027" customHeight="1" s="213">
      <c r="A18" s="126" t="inlineStr">
        <is>
          <t>RCA-U2-004</t>
        </is>
      </c>
      <c r="B18" s="126" t="inlineStr">
        <is>
          <t>E2E-08</t>
        </is>
      </c>
      <c r="C18" s="126" t="inlineStr">
        <is>
          <t>SECONDARY</t>
        </is>
      </c>
      <c r="D18" s="126" t="inlineStr">
        <is>
          <t>Persistence needs propagation trace</t>
        </is>
      </c>
      <c r="E18" s="126" t="inlineStr">
        <is>
          <t>persistEvaluationResultV2.boundary-gate.test.ts</t>
        </is>
      </c>
      <c r="F18" s="126" t="n"/>
      <c r="G18" s="126" t="n"/>
      <c r="H18" s="126" t="n"/>
      <c r="I18" s="126" t="n"/>
      <c r="J18" s="126" t="n"/>
      <c r="K18" s="126" t="n"/>
    </row>
    <row r="19" ht="14.39999961853027" customHeight="1" s="213">
      <c r="A19" s="126" t="inlineStr">
        <is>
          <t>RCA-U2-005</t>
        </is>
      </c>
      <c r="B19" s="126" t="inlineStr">
        <is>
          <t>E2E-09</t>
        </is>
      </c>
      <c r="C19" s="126" t="inlineStr">
        <is>
          <t>PRIMARY</t>
        </is>
      </c>
      <c r="D19" s="126" t="inlineStr">
        <is>
          <t>Report authority rendering</t>
        </is>
      </c>
      <c r="E19" s="126" t="inlineStr">
        <is>
          <t>warningClassification.ts; warningClassification.test.ts; components/report/*</t>
        </is>
      </c>
      <c r="F19" s="126" t="n"/>
      <c r="G19" s="126" t="n"/>
      <c r="H19" s="126" t="n"/>
      <c r="I19" s="126" t="n"/>
      <c r="J19" s="126" t="n"/>
      <c r="K19" s="126" t="n"/>
    </row>
    <row r="20" ht="14.39999961853027" customHeight="1" s="213">
      <c r="A20" s="126" t="inlineStr">
        <is>
          <t>RCA-U2-006</t>
        </is>
      </c>
      <c r="B20" s="126" t="inlineStr">
        <is>
          <t>E2E-04</t>
        </is>
      </c>
      <c r="C20" s="126" t="inlineStr">
        <is>
          <t>PRIMARY</t>
        </is>
      </c>
      <c r="D20" s="126" t="inlineStr">
        <is>
          <t>Pass2 rationale anchor source</t>
        </is>
      </c>
      <c r="E20" s="126" t="inlineStr">
        <is>
          <t>runPass2.ts; pass2-editorial.ts; anchor detector / textual reference</t>
        </is>
      </c>
      <c r="F20" s="126" t="n"/>
      <c r="G20" s="126" t="n"/>
      <c r="H20" s="126" t="n"/>
      <c r="I20" s="126" t="n"/>
      <c r="J20" s="126" t="n"/>
      <c r="K20" s="126" t="n"/>
    </row>
    <row r="21" ht="14.39999961853027" customHeight="1" s="213">
      <c r="A21" s="126" t="inlineStr">
        <is>
          <t>RCA-U2-006</t>
        </is>
      </c>
      <c r="B21" s="126" t="inlineStr">
        <is>
          <t>E2E-06</t>
        </is>
      </c>
      <c r="C21" s="126" t="inlineStr">
        <is>
          <t>SECONDARY</t>
        </is>
      </c>
      <c r="D21" s="126" t="inlineStr">
        <is>
          <t>Gate downgrades/holds on missing anchors</t>
        </is>
      </c>
      <c r="E21" s="126" t="inlineStr">
        <is>
          <t>qualityGate.ts; qualityGate.coverage.test.ts</t>
        </is>
      </c>
      <c r="F21" s="126" t="n"/>
      <c r="G21" s="126" t="n"/>
      <c r="H21" s="126" t="n"/>
      <c r="I21" s="126" t="n"/>
      <c r="J21" s="126" t="n"/>
      <c r="K21" s="126" t="n"/>
    </row>
    <row r="22" ht="14.39999961853027" customHeight="1" s="213">
      <c r="A22" s="126" t="inlineStr">
        <is>
          <t>RCA-BOUNDARY-SHAPE-001</t>
        </is>
      </c>
      <c r="B22" s="126" t="inlineStr">
        <is>
          <t>E2E-08</t>
        </is>
      </c>
      <c r="C22" s="126" t="inlineStr">
        <is>
          <t>PRIMARY</t>
        </is>
      </c>
      <c r="D22" s="126" t="inlineStr">
        <is>
          <t>Resolved proof surface</t>
        </is>
      </c>
      <c r="E22" s="126" t="inlineStr">
        <is>
          <t>persistEvaluationResultV2.ts; validateStructuralArtifact raw check; evaluation-result-v2.ts; persistEvaluationResultV2.boundary-gate.test.ts (6/6 passing)</t>
        </is>
      </c>
      <c r="F22" s="126" t="n"/>
      <c r="G22" s="126" t="n"/>
      <c r="H22" s="126" t="n"/>
      <c r="I22" s="126" t="n"/>
      <c r="J22" s="126" t="n"/>
      <c r="K22" s="126" t="n"/>
    </row>
    <row r="23" ht="14.39999961853027" customHeight="1" s="213">
      <c r="A23" s="126" t="inlineStr">
        <is>
          <t>RCA-BOUNDARY-SHAPE-001</t>
        </is>
      </c>
      <c r="B23" s="126" t="inlineStr">
        <is>
          <t>E2E-10</t>
        </is>
      </c>
      <c r="C23" s="126" t="inlineStr">
        <is>
          <t>SECONDARY</t>
        </is>
      </c>
      <c r="D23" s="126" t="inlineStr">
        <is>
          <t>Resolved / ongoing guard</t>
        </is>
      </c>
      <c r="E23" s="126" t="inlineStr">
        <is>
          <t>scripts/e2e-golden-run.sh; scripts/check-e2e-summary.mjs; live SQL must query progress-&gt;'gate_enforcement'</t>
        </is>
      </c>
      <c r="F23" s="126" t="n"/>
      <c r="G23" s="126" t="n"/>
      <c r="H23" s="126" t="n"/>
      <c r="I23" s="126" t="n"/>
      <c r="J23" s="126" t="n"/>
      <c r="K23" s="126" t="n"/>
    </row>
    <row r="24" ht="14.39999961853027" customHeight="1" s="213">
      <c r="A24" s="126" t="inlineStr">
        <is>
          <t>PV115-GOLDEN-FIXTURE</t>
        </is>
      </c>
      <c r="B24" s="126" t="inlineStr">
        <is>
          <t>E2E-10</t>
        </is>
      </c>
      <c r="C24" s="126" t="inlineStr">
        <is>
          <t>VERIFICATION</t>
        </is>
      </c>
      <c r="D24" s="126" t="inlineStr">
        <is>
          <t>Proof fixture after U2 closures</t>
        </is>
      </c>
      <c r="E24" s="126" t="inlineStr">
        <is>
          <t>PV115 golden fixture test; scripts/e2e-golden-run.sh; scripts/check-e2e-summary.mjs</t>
        </is>
      </c>
      <c r="F24" s="126" t="n"/>
      <c r="G24" s="126" t="n"/>
      <c r="H24" s="126" t="n"/>
      <c r="I24" s="126" t="n"/>
      <c r="J24" s="126" t="n"/>
      <c r="K24" s="126" t="n"/>
    </row>
    <row r="25">
      <c r="A25" s="126" t="n"/>
      <c r="B25" s="126" t="n"/>
      <c r="C25" s="126" t="n"/>
      <c r="D25" s="126" t="n"/>
      <c r="E25" s="126" t="n"/>
      <c r="F25" s="126" t="n"/>
      <c r="G25" s="126" t="n"/>
      <c r="H25" s="126" t="n"/>
      <c r="I25" s="126" t="n"/>
      <c r="J25" s="126" t="n"/>
      <c r="K25" s="126" t="n"/>
    </row>
    <row r="26">
      <c r="A26" s="126" t="inlineStr">
        <is>
          <t>Script / Test</t>
        </is>
      </c>
      <c r="B26" s="126" t="inlineStr">
        <is>
          <t>Purpose</t>
        </is>
      </c>
      <c r="C26" s="126" t="inlineStr">
        <is>
          <t>Bound RCA / Gate</t>
        </is>
      </c>
      <c r="D26" s="126" t="inlineStr">
        <is>
          <t>Status</t>
        </is>
      </c>
      <c r="E26" s="126" t="inlineStr">
        <is>
          <t>Notes</t>
        </is>
      </c>
      <c r="F26" s="126" t="n"/>
      <c r="G26" s="126" t="n"/>
      <c r="H26" s="126" t="n"/>
      <c r="I26" s="126" t="n"/>
      <c r="J26" s="126" t="n"/>
      <c r="K26" s="126" t="n"/>
    </row>
    <row r="27">
      <c r="A27" s="126" t="inlineStr">
        <is>
          <t>scripts/e2e-golden-run.sh</t>
        </is>
      </c>
      <c r="B27" s="126" t="inlineStr">
        <is>
          <t>Golden E2E proof</t>
        </is>
      </c>
      <c r="C27" s="126" t="inlineStr">
        <is>
          <t>U2/U3 promotion proof</t>
        </is>
      </c>
      <c r="D27" s="126" t="inlineStr">
        <is>
          <t>PENDING</t>
        </is>
      </c>
      <c r="E27" s="126" t="inlineStr">
        <is>
          <t>Use after U2 gates are installed and live path is ready.</t>
        </is>
      </c>
      <c r="F27" s="126" t="n"/>
      <c r="G27" s="126" t="n"/>
      <c r="H27" s="126" t="n"/>
      <c r="I27" s="126" t="n"/>
      <c r="J27" s="126" t="n"/>
      <c r="K27" s="126" t="n"/>
    </row>
    <row r="28">
      <c r="A28" s="126" t="inlineStr">
        <is>
          <t>scripts/check-e2e-summary.mjs</t>
        </is>
      </c>
      <c r="B28" s="126" t="inlineStr">
        <is>
          <t>E2E summary validator</t>
        </is>
      </c>
      <c r="C28" s="126" t="inlineStr">
        <is>
          <t>Artifact/progress proof check</t>
        </is>
      </c>
      <c r="D28" s="126" t="inlineStr">
        <is>
          <t>PENDING</t>
        </is>
      </c>
      <c r="E28" s="126" t="inlineStr">
        <is>
          <t>Must inspect progress.gate_enforcement and artifact schema.</t>
        </is>
      </c>
      <c r="F28" s="126" t="n"/>
      <c r="G28" s="126" t="n"/>
      <c r="H28" s="126" t="n"/>
      <c r="I28" s="126" t="n"/>
      <c r="J28" s="126" t="n"/>
      <c r="K28" s="126" t="n"/>
    </row>
    <row r="29">
      <c r="A29" s="126" t="inlineStr">
        <is>
          <t>scripts/pipeline/run-phase2-7-real-run.ts</t>
        </is>
      </c>
      <c r="B29" s="126" t="inlineStr">
        <is>
          <t>Real-run pipeline proof</t>
        </is>
      </c>
      <c r="C29" s="126" t="inlineStr">
        <is>
          <t>Quality gate and Pass 4 proof</t>
        </is>
      </c>
      <c r="D29" s="126" t="inlineStr">
        <is>
          <t>PENDING</t>
        </is>
      </c>
      <c r="E29" s="126" t="inlineStr">
        <is>
          <t>Use for RCA-EVAL-QUALITY gates.</t>
        </is>
      </c>
      <c r="F29" s="126" t="n"/>
      <c r="G29" s="126" t="n"/>
      <c r="H29" s="126" t="n"/>
      <c r="I29" s="126" t="n"/>
      <c r="J29" s="126" t="n"/>
      <c r="K29" s="126" t="n"/>
    </row>
    <row r="30">
      <c r="A30" s="126" t="inlineStr">
        <is>
          <t>tests/lifecycle-invariant.test.ts</t>
        </is>
      </c>
      <c r="B30" s="126" t="inlineStr">
        <is>
          <t>Lifecycle invariant regression</t>
        </is>
      </c>
      <c r="C30" s="126" t="inlineStr">
        <is>
          <t>RCA-JOB-LIFECYCLE-001</t>
        </is>
      </c>
      <c r="D30" s="126" t="inlineStr">
        <is>
          <t>COMPLETE</t>
        </is>
      </c>
      <c r="E30" s="126" t="inlineStr">
        <is>
          <t>LOCAL_DB gated; CI skip behavior acceptable.</t>
        </is>
      </c>
      <c r="F30" s="126" t="n"/>
      <c r="G30" s="126" t="n"/>
      <c r="H30" s="126" t="n"/>
      <c r="I30" s="126" t="n"/>
      <c r="J30" s="126" t="n"/>
      <c r="K30" s="126" t="n"/>
    </row>
    <row r="31">
      <c r="A31" s="126" t="inlineStr">
        <is>
          <t>runPass2.anchor-enforcement.test.ts</t>
        </is>
      </c>
      <c r="B31" s="126" t="inlineStr">
        <is>
          <t>Anchor enforcement regression</t>
        </is>
      </c>
      <c r="C31" s="126" t="inlineStr">
        <is>
          <t>RCA-U2-006</t>
        </is>
      </c>
      <c r="D31" s="126" t="inlineStr">
        <is>
          <t>PARTIAL</t>
        </is>
      </c>
      <c r="E31" s="126" t="inlineStr">
        <is>
          <t>Needs live proof; local/branch tests not enough.</t>
        </is>
      </c>
      <c r="F31" s="126" t="n"/>
      <c r="G31" s="126" t="n"/>
      <c r="H31" s="126" t="n"/>
      <c r="I31" s="126" t="n"/>
      <c r="J31" s="126" t="n"/>
      <c r="K31" s="126" t="n"/>
    </row>
    <row r="32">
      <c r="A32" s="126" t="inlineStr">
        <is>
          <t>processor.real-gate.test.ts</t>
        </is>
      </c>
      <c r="B32" s="126" t="inlineStr">
        <is>
          <t>Real gate regression</t>
        </is>
      </c>
      <c r="C32" s="126" t="inlineStr">
        <is>
          <t>U2 gate propagation</t>
        </is>
      </c>
      <c r="D32" s="126" t="inlineStr">
        <is>
          <t>PARTIAL</t>
        </is>
      </c>
      <c r="E32" s="126" t="inlineStr">
        <is>
          <t>Keep aligned with artifact/progress proof.</t>
        </is>
      </c>
      <c r="F32" s="126" t="n"/>
      <c r="G32" s="126" t="n"/>
      <c r="H32" s="126" t="n"/>
      <c r="I32" s="126" t="n"/>
      <c r="J32" s="126" t="n"/>
      <c r="K32" s="126" t="n"/>
    </row>
    <row r="33">
      <c r="A33" s="210" t="inlineStr">
        <is>
          <t>RCA-EVAL-QUALITY-001</t>
        </is>
      </c>
      <c r="B33" s="210" t="inlineStr">
        <is>
          <t>E2E-11</t>
        </is>
      </c>
      <c r="C33" s="210" t="inlineStr">
        <is>
          <t>PRIMARY</t>
        </is>
      </c>
      <c r="D33" s="210" t="inlineStr">
        <is>
          <t>PV115 generic advice fixture</t>
        </is>
      </c>
      <c r="E33" s="210" t="inlineStr">
        <is>
          <t>qualityGate.ts; runPass3Synthesis.ts; PV115 quality fixture</t>
        </is>
      </c>
      <c r="F33" s="126" t="n"/>
      <c r="G33" s="126" t="n"/>
      <c r="H33" s="126" t="n"/>
      <c r="I33" s="126" t="n"/>
      <c r="J33" s="126" t="n"/>
      <c r="K33" s="126" t="n"/>
    </row>
    <row r="34">
      <c r="A34" s="210" t="inlineStr">
        <is>
          <t>RCA-EVAL-QUALITY-002</t>
        </is>
      </c>
      <c r="B34" s="210" t="inlineStr">
        <is>
          <t>E2E-11 / E2E-09</t>
        </is>
      </c>
      <c r="C34" s="210" t="inlineStr">
        <is>
          <t>PRIMARY</t>
        </is>
      </c>
      <c r="D34" s="210" t="inlineStr">
        <is>
          <t>Confidence varies + strong authority output</t>
        </is>
      </c>
      <c r="E34" s="210" t="inlineStr">
        <is>
          <t>warningClassification.ts; qualityGate.ts; components/report/*</t>
        </is>
      </c>
      <c r="F34" s="126" t="n"/>
      <c r="G34" s="126" t="n"/>
      <c r="H34" s="126" t="n"/>
      <c r="I34" s="126" t="n"/>
      <c r="J34" s="126" t="n"/>
      <c r="K34" s="126" t="n"/>
    </row>
    <row r="35">
      <c r="A35" s="210" t="inlineStr">
        <is>
          <t>RCA-EVAL-QUALITY-003</t>
        </is>
      </c>
      <c r="B35" s="210" t="inlineStr">
        <is>
          <t>E2E-05 / E2E-11</t>
        </is>
      </c>
      <c r="C35" s="210" t="inlineStr">
        <is>
          <t>PRIMARY</t>
        </is>
      </c>
      <c r="D35" s="210" t="inlineStr">
        <is>
          <t>Pass3 compressed window + genericization</t>
        </is>
      </c>
      <c r="E35" s="210" t="inlineStr">
        <is>
          <t>runPass3Synthesis.ts; pass3-synthesis.ts; check-e2e-summary.mjs</t>
        </is>
      </c>
      <c r="F35" s="126" t="n"/>
      <c r="G35" s="126" t="n"/>
      <c r="H35" s="126" t="n"/>
      <c r="I35" s="126" t="n"/>
      <c r="J35" s="126" t="n"/>
      <c r="K35" s="126" t="n"/>
    </row>
    <row r="36">
      <c r="A36" s="210" t="inlineStr">
        <is>
          <t>RCA-EVAL-QUALITY-004</t>
        </is>
      </c>
      <c r="B36" s="210" t="inlineStr">
        <is>
          <t>E2E-09 / E2E-11</t>
        </is>
      </c>
      <c r="C36" s="210" t="inlineStr">
        <is>
          <t>PRIMARY</t>
        </is>
      </c>
      <c r="D36" s="210" t="inlineStr">
        <is>
          <t>Internal output language leakage</t>
        </is>
      </c>
      <c r="E36" s="210" t="inlineStr">
        <is>
          <t>report finalizer; components/report/*; qualityGate.ts</t>
        </is>
      </c>
      <c r="F36" s="126" t="n"/>
      <c r="G36" s="126" t="n"/>
      <c r="H36" s="126" t="n"/>
      <c r="I36" s="126" t="n"/>
      <c r="J36" s="126" t="n"/>
      <c r="K36" s="126" t="n"/>
    </row>
    <row r="37">
      <c r="A37" s="210" t="inlineStr">
        <is>
          <t>RCA-EVAL-QUALITY-005</t>
        </is>
      </c>
      <c r="B37" s="210" t="inlineStr">
        <is>
          <t>E2E-04 / E2E-05 / E2E-11</t>
        </is>
      </c>
      <c r="C37" s="210" t="inlineStr">
        <is>
          <t>PRIMARY</t>
        </is>
      </c>
      <c r="D37" s="210" t="inlineStr">
        <is>
          <t>Weak evidence-to-recommendation binding</t>
        </is>
      </c>
      <c r="E37" s="210" t="inlineStr">
        <is>
          <t>runPass2.ts; runPass3Synthesis.ts; qualityGate.ts</t>
        </is>
      </c>
      <c r="F37" s="126" t="n"/>
      <c r="G37" s="126" t="n"/>
      <c r="H37" s="126" t="n"/>
      <c r="I37" s="126" t="n"/>
      <c r="J37" s="126" t="n"/>
      <c r="K37" s="126" t="n"/>
    </row>
    <row r="38">
      <c r="A38" s="210" t="inlineStr">
        <is>
          <t>RCA-ENV-CONTRACT-TYPING-001</t>
        </is>
      </c>
      <c r="B38" s="210" t="inlineStr">
        <is>
          <t>CI</t>
        </is>
      </c>
      <c r="C38" s="210" t="inlineStr">
        <is>
          <t>PRIMARY</t>
        </is>
      </c>
      <c r="D38" s="210" t="inlineStr">
        <is>
          <t>Strict ProcessEnv fixture typing failure</t>
        </is>
      </c>
      <c r="E38" s="210" t="inlineStr">
        <is>
          <t>envContract.test.ts; productionConfigValidation.test.ts</t>
        </is>
      </c>
      <c r="F38" s="126" t="n"/>
      <c r="G38" s="126" t="n"/>
      <c r="H38" s="126" t="n"/>
      <c r="I38" s="126" t="n"/>
      <c r="J38" s="126" t="n"/>
      <c r="K38" s="126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39999961853027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</cols>
  <sheetData>
    <row r="1" ht="14.39999961853027" customHeight="1" s="213">
      <c r="A1" s="291" t="inlineStr">
        <is>
          <t>Batch</t>
        </is>
      </c>
      <c r="B1" s="291" t="inlineStr">
        <is>
          <t>Target Count</t>
        </is>
      </c>
      <c r="C1" s="291" t="inlineStr">
        <is>
          <t>Theme</t>
        </is>
      </c>
      <c r="D1" s="291" t="inlineStr">
        <is>
          <t>Seed / Candidate RCAs</t>
        </is>
      </c>
      <c r="E1" s="291" t="inlineStr">
        <is>
          <t>Why This Batch</t>
        </is>
      </c>
      <c r="F1" s="291" t="inlineStr">
        <is>
          <t>Status</t>
        </is>
      </c>
      <c r="G1" s="266" t="n"/>
      <c r="H1" s="266" t="n"/>
      <c r="I1" s="266" t="n"/>
      <c r="J1" s="266" t="n"/>
      <c r="K1" s="266" t="n"/>
    </row>
    <row r="2" ht="14.39999961853027" customHeight="1" s="213">
      <c r="A2" s="122" t="inlineStr">
        <is>
          <t>Batch 1</t>
        </is>
      </c>
      <c r="B2" s="122" t="inlineStr">
        <is>
          <t>5</t>
        </is>
      </c>
      <c r="C2" s="122" t="inlineStr">
        <is>
          <t>Current high-signal failures and resolved infra</t>
        </is>
      </c>
      <c r="D2" s="122" t="inlineStr">
        <is>
          <t>PASS1 token, LLR-004, Dialogue gate, Atomic persistence, Failure envelope diagnostics</t>
        </is>
      </c>
      <c r="E2" s="122" t="inlineStr">
        <is>
          <t>Establishes RCA system of record; separates open blockers, resolved proofs, and partial diagnostic evidence</t>
        </is>
      </c>
      <c r="F2" s="122" t="inlineStr">
        <is>
          <t>APPLIED</t>
        </is>
      </c>
      <c r="G2" s="126" t="n"/>
      <c r="H2" s="126" t="n"/>
      <c r="I2" s="126" t="n"/>
      <c r="J2" s="126" t="n"/>
      <c r="K2" s="126" t="n"/>
    </row>
    <row r="3" ht="14.39999961853027" customHeight="1" s="213">
      <c r="A3" s="122" t="inlineStr">
        <is>
          <t>Batch 2</t>
        </is>
      </c>
      <c r="B3" s="122" t="inlineStr">
        <is>
          <t>6</t>
        </is>
      </c>
      <c r="C3" s="122" t="inlineStr">
        <is>
          <t>U2 / fidelity enforcement</t>
        </is>
      </c>
      <c r="D3" s="122" t="inlineStr">
        <is>
          <t>RCA-U2-001..006: score-confidence mismatch, summary washing, derived confidence, propagation missing, UI authority mismatch, evidence anchor enforcement</t>
        </is>
      </c>
      <c r="E3" s="122" t="inlineStr">
        <is>
          <t>Turns U2 into six closeable failure classes with dependencies: 001→003, 005→004, 002→006</t>
        </is>
      </c>
      <c r="F3" s="122" t="inlineStr">
        <is>
          <t>APPLIED / READY FOR EXECUTION</t>
        </is>
      </c>
      <c r="G3" s="126" t="n"/>
      <c r="H3" s="126" t="n"/>
      <c r="I3" s="126" t="n"/>
      <c r="J3" s="126" t="n"/>
      <c r="K3" s="126" t="n"/>
    </row>
    <row r="4" ht="14.39999961853027" customHeight="1" s="213">
      <c r="A4" s="122" t="inlineStr">
        <is>
          <t>Batch 3</t>
        </is>
      </c>
      <c r="B4" s="122" t="inlineStr">
        <is>
          <t>5–10</t>
        </is>
      </c>
      <c r="C4" s="122" t="inlineStr">
        <is>
          <t>Pass1 output feasibility variants</t>
        </is>
      </c>
      <c r="D4" s="122" t="inlineStr">
        <is>
          <t>Prompt bloat, schema bloat, manuscript payload edge, JSON truncation, retry/fail-closed diagnostics</t>
        </is>
      </c>
      <c r="E4" s="122" t="inlineStr">
        <is>
          <t>Current upstream blocker to reach gates consistently</t>
        </is>
      </c>
      <c r="F4" s="122" t="inlineStr">
        <is>
          <t>PENDING</t>
        </is>
      </c>
      <c r="G4" s="126" t="n"/>
      <c r="H4" s="126" t="n"/>
      <c r="I4" s="126" t="n"/>
      <c r="J4" s="126" t="n"/>
      <c r="K4" s="126" t="n"/>
    </row>
    <row r="5" ht="14.39999961853027" customHeight="1" s="213">
      <c r="A5" s="122" t="inlineStr">
        <is>
          <t>Batch 4</t>
        </is>
      </c>
      <c r="B5" s="122" t="inlineStr">
        <is>
          <t>5–10</t>
        </is>
      </c>
      <c r="C5" s="122" t="inlineStr">
        <is>
          <t>LLR and governance calibration</t>
        </is>
      </c>
      <c r="D5" s="122" t="inlineStr">
        <is>
          <t>LLR-004 variants, post-structural vs post-diagnostic, canonical term drift, provider output normalization</t>
        </is>
      </c>
      <c r="E5" s="122" t="inlineStr">
        <is>
          <t>Separates valid enforcement from overblocking</t>
        </is>
      </c>
      <c r="F5" s="122" t="inlineStr">
        <is>
          <t>PENDING</t>
        </is>
      </c>
      <c r="G5" s="126" t="n"/>
      <c r="H5" s="126" t="n"/>
      <c r="I5" s="126" t="n"/>
      <c r="J5" s="126" t="n"/>
      <c r="K5" s="126" t="n"/>
    </row>
    <row r="6" ht="14.39999961853027" customHeight="1" s="213">
      <c r="A6" s="122" t="inlineStr">
        <is>
          <t>Batch 5</t>
        </is>
      </c>
      <c r="B6" s="122" t="inlineStr">
        <is>
          <t>5–10</t>
        </is>
      </c>
      <c r="C6" s="122" t="inlineStr">
        <is>
          <t>UI/report truth surface</t>
        </is>
      </c>
      <c r="D6" s="122" t="inlineStr">
        <is>
          <t>High-confidence banner mismatch, report not ready states, warning classification, report rendering authority</t>
        </is>
      </c>
      <c r="E6" s="122" t="inlineStr">
        <is>
          <t>Ensures user-visible output matches governance truth</t>
        </is>
      </c>
      <c r="F6" s="122" t="inlineStr">
        <is>
          <t>PENDING</t>
        </is>
      </c>
      <c r="G6" s="126" t="n"/>
      <c r="H6" s="126" t="n"/>
      <c r="I6" s="126" t="n"/>
      <c r="J6" s="126" t="n"/>
      <c r="K6" s="126" t="n"/>
    </row>
    <row r="7" ht="14.39999961853027" customHeight="1" s="213">
      <c r="A7" s="126" t="inlineStr">
        <is>
          <t>Final patch</t>
        </is>
      </c>
      <c r="B7" s="126" t="inlineStr">
        <is>
          <t>Boundary + PV115</t>
        </is>
      </c>
      <c r="C7" s="126" t="inlineStr">
        <is>
          <t>APPLIED</t>
        </is>
      </c>
      <c r="D7" s="126" t="inlineStr">
        <is>
          <t>Added RCA-BOUNDARY-SHAPE-001 and VERIFICATION_ARTIFACTS/PV115; execution block patched</t>
        </is>
      </c>
      <c r="E7" s="126" t="inlineStr">
        <is>
          <t>Prevents pseudo-RCA drift and boundary overclaiming</t>
        </is>
      </c>
      <c r="F7" s="126" t="inlineStr">
        <is>
          <t>2026-04-27</t>
        </is>
      </c>
      <c r="G7" s="126" t="n"/>
      <c r="H7" s="126" t="n"/>
      <c r="I7" s="126" t="n"/>
      <c r="J7" s="126" t="n"/>
      <c r="K7" s="126" t="n"/>
    </row>
    <row r="8" ht="14.39999961853027" customHeight="1" s="213">
      <c r="A8" s="126" t="inlineStr">
        <is>
          <t>Final micro-patch</t>
        </is>
      </c>
      <c r="B8" s="126" t="inlineStr">
        <is>
          <t>PV115 + ambiguity lifecycle</t>
        </is>
      </c>
      <c r="C8" s="126" t="inlineStr">
        <is>
          <t>APPLIED</t>
        </is>
      </c>
      <c r="D8" s="126" t="inlineStr">
        <is>
          <t>Added VERIFICATION_ARTIFACTS.PROMOTION_RULE; normalized RCA-LLR-004-001 and RCA-BOUNDARY-SHAPE-001 lifecycle to AMBIGUOUS → RESOLVED.</t>
        </is>
      </c>
      <c r="E8" s="126" t="inlineStr">
        <is>
          <t>Keeps proof artifacts promotion-gated and ambiguity classification consistent before U2 execution.</t>
        </is>
      </c>
      <c r="F8" s="126" t="inlineStr">
        <is>
          <t>2026-04-27</t>
        </is>
      </c>
      <c r="G8" s="126" t="n"/>
      <c r="H8" s="126" t="n"/>
      <c r="I8" s="126" t="n"/>
      <c r="J8" s="126" t="n"/>
      <c r="K8" s="126" t="n"/>
    </row>
    <row r="9" ht="14.39999961853027" customHeight="1" s="213">
      <c r="A9" s="126" t="inlineStr">
        <is>
          <t>Boundary closure</t>
        </is>
      </c>
      <c r="B9" s="126" t="inlineStr">
        <is>
          <t>1</t>
        </is>
      </c>
      <c r="C9" s="126" t="inlineStr">
        <is>
          <t>Raw PASS shape proof</t>
        </is>
      </c>
      <c r="D9" s="126" t="inlineStr">
        <is>
          <t>RCA-BOUNDARY-SHAPE-001 RESOLVED with live SQL evidence: job 533a77a5-11cd-4b06-9167-41332cd12390, progress.gate_enforcement populated, artifact_schema=evaluation_result_v2, completed_at=2026-04-27T04:26:09.436+00:00.</t>
        </is>
      </c>
      <c r="E9" s="126" t="inlineStr">
        <is>
          <t>Closed calibration uncertainty before U2 code lands; confirmed live DB path plus raw validator order, raw persistence, and PASS-path regression.</t>
        </is>
      </c>
      <c r="F9" s="126" t="inlineStr">
        <is>
          <t>RESOLVED 2026-04-27</t>
        </is>
      </c>
      <c r="G9" s="126" t="n"/>
      <c r="H9" s="126" t="n"/>
      <c r="I9" s="126" t="n"/>
      <c r="J9" s="126" t="n"/>
      <c r="K9" s="126" t="n"/>
    </row>
    <row r="10" ht="14.39999961853027" customHeight="1" s="213">
      <c r="A10" s="126" t="inlineStr">
        <is>
          <t>U2 remote implementation checkpoint</t>
        </is>
      </c>
      <c r="B10" s="126" t="inlineStr">
        <is>
          <t>2</t>
        </is>
      </c>
      <c r="C10" s="126" t="inlineStr">
        <is>
          <t>RCA-U2-003 / RCA-U2-006 partial remote status</t>
        </is>
      </c>
      <c r="D10" s="126" t="inlineStr">
        <is>
          <t>Commit 8ecdde70 pushed: deterministic confidence + anchor enforcement; ROADMAP.md correction ca12ade4 records PARTIAL REMOTE IMPLEMENTATION / LIVE_PROOF_PENDING.</t>
        </is>
      </c>
      <c r="E10" s="126" t="inlineStr">
        <is>
          <t>Converts local truth into repo truth while preserving doctrine that live proof is still required before RESOLVED.</t>
        </is>
      </c>
      <c r="F10" s="126" t="inlineStr">
        <is>
          <t>PARTIAL REMOTE / APPLIED 2026-04-28</t>
        </is>
      </c>
      <c r="G10" s="126" t="n"/>
      <c r="H10" s="126" t="n"/>
      <c r="I10" s="126" t="n"/>
      <c r="J10" s="126" t="n"/>
      <c r="K10" s="126" t="n"/>
    </row>
    <row r="11">
      <c r="A11" s="126" t="n"/>
      <c r="B11" s="126" t="n"/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</row>
    <row r="12">
      <c r="A12" s="126" t="inlineStr">
        <is>
          <t>Batch</t>
        </is>
      </c>
      <c r="B12" s="126" t="inlineStr">
        <is>
          <t>RCA ID</t>
        </is>
      </c>
      <c r="C12" s="126" t="inlineStr">
        <is>
          <t>Status</t>
        </is>
      </c>
      <c r="D12" s="126" t="inlineStr">
        <is>
          <t>Purpose</t>
        </is>
      </c>
      <c r="E12" s="126" t="inlineStr">
        <is>
          <t>Notes</t>
        </is>
      </c>
      <c r="F12" s="126" t="n"/>
      <c r="G12" s="126" t="n"/>
      <c r="H12" s="126" t="n"/>
      <c r="I12" s="126" t="n"/>
      <c r="J12" s="126" t="n"/>
      <c r="K12" s="126" t="n"/>
    </row>
    <row r="13">
      <c r="A13" s="126" t="inlineStr">
        <is>
          <t>U1 Structural Closure</t>
        </is>
      </c>
      <c r="B13" s="126" t="inlineStr">
        <is>
          <t>RCA-ATOMIC-PERSISTENCE-001</t>
        </is>
      </c>
      <c r="C13" s="126" t="inlineStr">
        <is>
          <t>COMPLETE</t>
        </is>
      </c>
      <c r="D13" s="126" t="inlineStr">
        <is>
          <t>Atomic persistence boundary</t>
        </is>
      </c>
      <c r="E13" s="126" t="inlineStr">
        <is>
          <t>Keep guarded; no alternate write path.</t>
        </is>
      </c>
      <c r="F13" s="126" t="n"/>
      <c r="G13" s="126" t="n"/>
      <c r="H13" s="126" t="n"/>
      <c r="I13" s="126" t="n"/>
      <c r="J13" s="126" t="n"/>
      <c r="K13" s="126" t="n"/>
    </row>
    <row r="14">
      <c r="A14" s="126" t="inlineStr">
        <is>
          <t>U1 Structural Closure</t>
        </is>
      </c>
      <c r="B14" s="126" t="inlineStr">
        <is>
          <t>RCA-BOUNDARY-SHAPE-001</t>
        </is>
      </c>
      <c r="C14" s="126" t="inlineStr">
        <is>
          <t>COMPLETE</t>
        </is>
      </c>
      <c r="D14" s="126" t="inlineStr">
        <is>
          <t>progress.gate_enforcement boundary shape</t>
        </is>
      </c>
      <c r="E14" s="126" t="inlineStr">
        <is>
          <t>Keep raw artifact + projection separation.</t>
        </is>
      </c>
      <c r="F14" s="126" t="n"/>
      <c r="G14" s="126" t="n"/>
      <c r="H14" s="126" t="n"/>
      <c r="I14" s="126" t="n"/>
      <c r="J14" s="126" t="n"/>
      <c r="K14" s="126" t="n"/>
    </row>
    <row r="15">
      <c r="A15" s="126" t="inlineStr">
        <is>
          <t>Lifecycle Closure</t>
        </is>
      </c>
      <c r="B15" s="126" t="inlineStr">
        <is>
          <t>RCA-JOB-LIFECYCLE-001</t>
        </is>
      </c>
      <c r="C15" s="126" t="inlineStr">
        <is>
          <t>COMPLETE</t>
        </is>
      </c>
      <c r="D15" s="126" t="inlineStr">
        <is>
          <t>Running requires claim metadata</t>
        </is>
      </c>
      <c r="E15" s="126" t="inlineStr">
        <is>
          <t>Keep DB CHECK/repair RPC and tests.</t>
        </is>
      </c>
      <c r="F15" s="126" t="n"/>
      <c r="G15" s="126" t="n"/>
      <c r="H15" s="126" t="n"/>
      <c r="I15" s="126" t="n"/>
      <c r="J15" s="126" t="n"/>
      <c r="K15" s="126" t="n"/>
    </row>
    <row r="16">
      <c r="A16" s="126" t="inlineStr">
        <is>
          <t>U2 Fidelity Closure</t>
        </is>
      </c>
      <c r="B16" s="126" t="inlineStr">
        <is>
          <t>RCA-U2-003</t>
        </is>
      </c>
      <c r="C16" s="126" t="inlineStr">
        <is>
          <t>PARTIAL</t>
        </is>
      </c>
      <c r="D16" s="126" t="inlineStr">
        <is>
          <t>Confidence derivation</t>
        </is>
      </c>
      <c r="E16" s="126" t="inlineStr">
        <is>
          <t>Needs live artifact proof.</t>
        </is>
      </c>
      <c r="F16" s="126" t="n"/>
      <c r="G16" s="126" t="n"/>
      <c r="H16" s="126" t="n"/>
      <c r="I16" s="126" t="n"/>
      <c r="J16" s="126" t="n"/>
      <c r="K16" s="126" t="n"/>
    </row>
    <row r="17">
      <c r="A17" s="126" t="inlineStr">
        <is>
          <t>U2 Fidelity Closure</t>
        </is>
      </c>
      <c r="B17" s="126" t="inlineStr">
        <is>
          <t>RCA-U2-006</t>
        </is>
      </c>
      <c r="C17" s="126" t="inlineStr">
        <is>
          <t>PARTIAL</t>
        </is>
      </c>
      <c r="D17" s="126" t="inlineStr">
        <is>
          <t>Textual/scene/action anchors</t>
        </is>
      </c>
      <c r="E17" s="126" t="inlineStr">
        <is>
          <t>Needs live artifact proof.</t>
        </is>
      </c>
      <c r="F17" s="126" t="n"/>
      <c r="G17" s="126" t="n"/>
      <c r="H17" s="126" t="n"/>
      <c r="I17" s="126" t="n"/>
      <c r="J17" s="126" t="n"/>
      <c r="K17" s="126" t="n"/>
    </row>
    <row r="18">
      <c r="A18" s="126" t="inlineStr">
        <is>
          <t>U2 Fidelity Closure</t>
        </is>
      </c>
      <c r="B18" s="126" t="inlineStr">
        <is>
          <t>RCA-U2-004</t>
        </is>
      </c>
      <c r="C18" s="126" t="inlineStr">
        <is>
          <t>PENDING</t>
        </is>
      </c>
      <c r="D18" s="126" t="inlineStr">
        <is>
          <t>Propagation/upstreamIntegrity</t>
        </is>
      </c>
      <c r="E18" s="126" t="inlineStr">
        <is>
          <t>Blocked by U2-003.</t>
        </is>
      </c>
      <c r="F18" s="126" t="n"/>
      <c r="G18" s="126" t="n"/>
      <c r="H18" s="126" t="n"/>
      <c r="I18" s="126" t="n"/>
      <c r="J18" s="126" t="n"/>
      <c r="K18" s="126" t="n"/>
    </row>
    <row r="19">
      <c r="A19" s="126" t="inlineStr">
        <is>
          <t>U2 Fidelity Closure</t>
        </is>
      </c>
      <c r="B19" s="126" t="inlineStr">
        <is>
          <t>RCA-U2-001</t>
        </is>
      </c>
      <c r="C19" s="126" t="inlineStr">
        <is>
          <t>PENDING</t>
        </is>
      </c>
      <c r="D19" s="126" t="inlineStr">
        <is>
          <t>Score-confidence mismatch</t>
        </is>
      </c>
      <c r="E19" s="126" t="inlineStr">
        <is>
          <t>Blocked by U2-003/U2-004.</t>
        </is>
      </c>
      <c r="F19" s="126" t="n"/>
      <c r="G19" s="126" t="n"/>
      <c r="H19" s="126" t="n"/>
      <c r="I19" s="126" t="n"/>
      <c r="J19" s="126" t="n"/>
      <c r="K19" s="126" t="n"/>
    </row>
    <row r="20">
      <c r="A20" s="126" t="inlineStr">
        <is>
          <t>U2 Fidelity Closure</t>
        </is>
      </c>
      <c r="B20" s="126" t="inlineStr">
        <is>
          <t>RCA-U2-002</t>
        </is>
      </c>
      <c r="C20" s="126" t="inlineStr">
        <is>
          <t>PENDING</t>
        </is>
      </c>
      <c r="D20" s="126" t="inlineStr">
        <is>
          <t>Summary anti-washing</t>
        </is>
      </c>
      <c r="E20" s="126" t="inlineStr">
        <is>
          <t>Blocked by U2-006.</t>
        </is>
      </c>
      <c r="F20" s="126" t="n"/>
      <c r="G20" s="126" t="n"/>
      <c r="H20" s="126" t="n"/>
      <c r="I20" s="126" t="n"/>
      <c r="J20" s="126" t="n"/>
      <c r="K20" s="126" t="n"/>
    </row>
    <row r="21">
      <c r="A21" s="126" t="inlineStr">
        <is>
          <t>U2 Fidelity Closure</t>
        </is>
      </c>
      <c r="B21" s="126" t="inlineStr">
        <is>
          <t>RCA-U2-005</t>
        </is>
      </c>
      <c r="C21" s="126" t="inlineStr">
        <is>
          <t>PENDING</t>
        </is>
      </c>
      <c r="D21" s="126" t="inlineStr">
        <is>
          <t>UI authority lock</t>
        </is>
      </c>
      <c r="E21" s="126" t="inlineStr">
        <is>
          <t>Blocked by U2-004.</t>
        </is>
      </c>
      <c r="F21" s="126" t="n"/>
      <c r="G21" s="126" t="n"/>
      <c r="H21" s="126" t="n"/>
      <c r="I21" s="126" t="n"/>
      <c r="J21" s="126" t="n"/>
      <c r="K21" s="126" t="n"/>
    </row>
    <row r="22">
      <c r="A22" s="126" t="inlineStr">
        <is>
          <t>Evaluation Quality</t>
        </is>
      </c>
      <c r="B22" s="126" t="inlineStr">
        <is>
          <t>RCA-EVAL-QUALITY-001</t>
        </is>
      </c>
      <c r="C22" s="126" t="inlineStr">
        <is>
          <t>PENDING</t>
        </is>
      </c>
      <c r="D22" s="126" t="inlineStr">
        <is>
          <t>Genericity/evidence/confidence/Pass3/output gates</t>
        </is>
      </c>
      <c r="E22" s="126" t="inlineStr">
        <is>
          <t>Quality enforcement batch; U2→U3 bridge.</t>
        </is>
      </c>
      <c r="F22" s="126" t="n"/>
      <c r="G22" s="126" t="n"/>
      <c r="H22" s="126" t="n"/>
      <c r="I22" s="126" t="n"/>
      <c r="J22" s="126" t="n"/>
      <c r="K22" s="126" t="n"/>
    </row>
    <row r="23">
      <c r="A23" s="126" t="inlineStr">
        <is>
          <t>U3 Authority</t>
        </is>
      </c>
      <c r="B23" s="126" t="inlineStr">
        <is>
          <t>RCA-U3-*</t>
        </is>
      </c>
      <c r="C23" s="126" t="inlineStr">
        <is>
          <t>BLOCKED</t>
        </is>
      </c>
      <c r="D23" s="126" t="inlineStr">
        <is>
          <t>Contradiction/coherence authority</t>
        </is>
      </c>
      <c r="E23" s="126" t="inlineStr">
        <is>
          <t>Define after U2 enforced.</t>
        </is>
      </c>
      <c r="F23" s="126" t="n"/>
      <c r="G23" s="126" t="n"/>
      <c r="H23" s="126" t="n"/>
      <c r="I23" s="126" t="n"/>
      <c r="J23" s="126" t="n"/>
      <c r="K23" s="126" t="n"/>
    </row>
    <row r="24">
      <c r="A24" s="210" t="inlineStr">
        <is>
          <t>Batch 6</t>
        </is>
      </c>
      <c r="B24" s="210" t="inlineStr">
        <is>
          <t>5</t>
        </is>
      </c>
      <c r="C24" s="210" t="inlineStr">
        <is>
          <t>Evaluation quality acceptance</t>
        </is>
      </c>
      <c r="D24" s="210" t="inlineStr">
        <is>
          <t>RCA-EVAL-QUALITY-001..005: recommendation genericity, confidence non-enforcement, synthesis compression loss, output boundary leakage, evidence-to-recommendation traceability</t>
        </is>
      </c>
      <c r="E24" s="210" t="inlineStr">
        <is>
          <t>Converts PV115 quality failures into closeable semantic acceptance gates; follows read-only repo trace.</t>
        </is>
      </c>
      <c r="F24" s="210" t="inlineStr">
        <is>
          <t>PENDING / BLOCKED BY TRACE</t>
        </is>
      </c>
      <c r="G24" s="126" t="n"/>
      <c r="H24" s="126" t="n"/>
      <c r="I24" s="126" t="n"/>
      <c r="J24" s="126" t="n"/>
      <c r="K24" s="126" t="n"/>
    </row>
    <row r="25">
      <c r="A25" s="210" t="inlineStr">
        <is>
          <t>Batch 7</t>
        </is>
      </c>
      <c r="B25" s="210" t="inlineStr">
        <is>
          <t>1</t>
        </is>
      </c>
      <c r="C25" s="210" t="inlineStr">
        <is>
          <t>Pass1 o3 model/budget strategy</t>
        </is>
      </c>
      <c r="D25" s="210" t="inlineStr">
        <is>
          <t>RCA-PASS1-TOKEN-001</t>
        </is>
      </c>
      <c r="E25" s="210" t="inlineStr">
        <is>
          <t>Finding A blocks live U2/quality validation before downstream layers are reachable.</t>
        </is>
      </c>
      <c r="F25" s="210" t="inlineStr">
        <is>
          <t>OPEN / FIRST</t>
        </is>
      </c>
      <c r="G25" s="126" t="n"/>
      <c r="H25" s="126" t="n"/>
      <c r="I25" s="126" t="n"/>
      <c r="J25" s="126" t="n"/>
      <c r="K25" s="126" t="n"/>
    </row>
    <row r="26">
      <c r="A26" s="210" t="inlineStr">
        <is>
          <t>Batch 8</t>
        </is>
      </c>
      <c r="B26" s="210" t="inlineStr">
        <is>
          <t>1</t>
        </is>
      </c>
      <c r="C26" s="210" t="inlineStr">
        <is>
          <t>Env test typing cleanup</t>
        </is>
      </c>
      <c r="D26" s="210" t="inlineStr">
        <is>
          <t>RCA-ENV-CONTRACT-TYPING-001</t>
        </is>
      </c>
      <c r="E26" s="210" t="inlineStr">
        <is>
          <t>Surgical CI/test fixture correction; no runtime behavior change.</t>
        </is>
      </c>
      <c r="F26" s="210" t="inlineStr">
        <is>
          <t>READY_FOR_PR / PARALLEL</t>
        </is>
      </c>
      <c r="G26" s="126" t="n"/>
      <c r="H26" s="126" t="n"/>
      <c r="I26" s="126" t="n"/>
      <c r="J26" s="126" t="n"/>
      <c r="K26" s="126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</cols>
  <sheetData>
    <row r="1" ht="15" customHeight="1" s="213">
      <c r="A1" s="266" t="inlineStr">
        <is>
          <t>Value</t>
        </is>
      </c>
      <c r="B1" s="266" t="inlineStr">
        <is>
          <t>Definition</t>
        </is>
      </c>
      <c r="C1" s="266" t="inlineStr">
        <is>
          <t>Use In Workbook</t>
        </is>
      </c>
      <c r="D1" s="266" t="inlineStr">
        <is>
          <t>Allowed Status?</t>
        </is>
      </c>
      <c r="E1" s="266" t="n"/>
    </row>
    <row r="2" ht="15" customHeight="1" s="213">
      <c r="A2" s="126" t="inlineStr">
        <is>
          <t>ENFORCED</t>
        </is>
      </c>
      <c r="B2" s="126" t="inlineStr">
        <is>
          <t>Hard gate or runtime invariant is implemented, tested, and has proof evidence.</t>
        </is>
      </c>
      <c r="C2" s="126" t="inlineStr">
        <is>
          <t>CURRENT_STATE, ROADMAP_LANES, RCA, U_GATES_ENFORCEMENT</t>
        </is>
      </c>
      <c r="D2" s="126" t="inlineStr">
        <is>
          <t>YES</t>
        </is>
      </c>
      <c r="E2" s="126" t="n"/>
    </row>
    <row r="3" ht="15" customHeight="1" s="213">
      <c r="A3" s="126" t="inlineStr">
        <is>
          <t>ENFORCED — boundary scope</t>
        </is>
      </c>
      <c r="B3" s="126" t="inlineStr">
        <is>
          <t>Hard gate is true only for the named boundary/scope; not a whole-system claim.</t>
        </is>
      </c>
      <c r="C3" s="126" t="inlineStr">
        <is>
          <t>CURRENT_STATE, Complete-Partially-Pending</t>
        </is>
      </c>
      <c r="D3" s="126" t="inlineStr">
        <is>
          <t>YES</t>
        </is>
      </c>
      <c r="E3" s="126" t="n"/>
    </row>
    <row r="4" ht="15" customHeight="1" s="213">
      <c r="A4" s="126" t="inlineStr">
        <is>
          <t>PARTIAL</t>
        </is>
      </c>
      <c r="B4" s="126" t="inlineStr">
        <is>
          <t>Implemented or specified in part, but not fully proven or not end-to-end authoritative.</t>
        </is>
      </c>
      <c r="C4" s="126" t="inlineStr">
        <is>
          <t>All tracker sheets</t>
        </is>
      </c>
      <c r="D4" s="126" t="inlineStr">
        <is>
          <t>YES</t>
        </is>
      </c>
      <c r="E4" s="126" t="n"/>
    </row>
    <row r="5" ht="15" customHeight="1" s="213">
      <c r="A5" s="126" t="inlineStr">
        <is>
          <t>OBSERVED</t>
        </is>
      </c>
      <c r="B5" s="126" t="inlineStr">
        <is>
          <t>Detected or measured, but not yet enforced as a gate/control-flow rule.</t>
        </is>
      </c>
      <c r="C5" s="126" t="inlineStr">
        <is>
          <t>RCA, CURRENT_STATE</t>
        </is>
      </c>
      <c r="D5" s="126" t="inlineStr">
        <is>
          <t>YES</t>
        </is>
      </c>
      <c r="E5" s="126" t="n"/>
    </row>
    <row r="6" ht="15" customHeight="1" s="213">
      <c r="A6" s="126" t="inlineStr">
        <is>
          <t>OPEN</t>
        </is>
      </c>
      <c r="B6" s="126" t="inlineStr">
        <is>
          <t>Known issue/failure class requiring root-cause closure.</t>
        </is>
      </c>
      <c r="C6" s="126" t="inlineStr">
        <is>
          <t>RCA, Current State</t>
        </is>
      </c>
      <c r="D6" s="126" t="inlineStr">
        <is>
          <t>YES</t>
        </is>
      </c>
      <c r="E6" s="126" t="n"/>
    </row>
    <row r="7" ht="15" customHeight="1" s="213">
      <c r="A7" s="126" t="inlineStr">
        <is>
          <t>RESOLVED</t>
        </is>
      </c>
      <c r="B7" s="126" t="inlineStr">
        <is>
          <t>Root cause fixed and proof evidence exists.</t>
        </is>
      </c>
      <c r="C7" s="126" t="inlineStr">
        <is>
          <t>RCA</t>
        </is>
      </c>
      <c r="D7" s="126" t="inlineStr">
        <is>
          <t>YES</t>
        </is>
      </c>
      <c r="E7" s="126" t="n"/>
    </row>
    <row r="8" ht="15" customHeight="1" s="213">
      <c r="A8" s="126" t="inlineStr">
        <is>
          <t>NOT_STARTED</t>
        </is>
      </c>
      <c r="B8" s="126" t="inlineStr">
        <is>
          <t>Specified or known work that has not been implemented.</t>
        </is>
      </c>
      <c r="C8" s="126" t="inlineStr">
        <is>
          <t>ROADMAP_LANES, EXECUTION_BLOCK</t>
        </is>
      </c>
      <c r="D8" s="126" t="inlineStr">
        <is>
          <t>YES</t>
        </is>
      </c>
      <c r="E8" s="126" t="n"/>
    </row>
    <row r="9" ht="15" customHeight="1" s="213">
      <c r="A9" s="126" t="inlineStr">
        <is>
          <t>BLOCKED</t>
        </is>
      </c>
      <c r="B9" s="126" t="inlineStr">
        <is>
          <t>Cannot progress until listed dependency/RCA is addressed.</t>
        </is>
      </c>
      <c r="C9" s="126" t="inlineStr">
        <is>
          <t>ROADMAP_LANES, RCA_BATCH_PLAN</t>
        </is>
      </c>
      <c r="D9" s="126" t="inlineStr">
        <is>
          <t>YES</t>
        </is>
      </c>
      <c r="E9" s="126" t="n"/>
    </row>
    <row r="10" ht="15" customHeight="1" s="213">
      <c r="A10" s="126" t="inlineStr">
        <is>
          <t>AMBIGUOUS</t>
        </is>
      </c>
      <c r="B10" s="126" t="inlineStr">
        <is>
          <t>Cause cannot be assigned yet; requires classification before fix can be treated as final.</t>
        </is>
      </c>
      <c r="C10" s="126" t="inlineStr">
        <is>
          <t>RCA</t>
        </is>
      </c>
      <c r="D10" s="126" t="inlineStr">
        <is>
          <t>YES</t>
        </is>
      </c>
      <c r="E10" s="126" t="n"/>
    </row>
    <row r="11">
      <c r="A11" s="126" t="n"/>
      <c r="B11" s="126" t="n"/>
      <c r="C11" s="126" t="n"/>
      <c r="D11" s="126" t="n"/>
      <c r="E11" s="126" t="n"/>
    </row>
    <row r="12">
      <c r="A12" s="126" t="inlineStr">
        <is>
          <t>Layer</t>
        </is>
      </c>
      <c r="B12" s="126" t="inlineStr">
        <is>
          <t>Meaning</t>
        </is>
      </c>
      <c r="C12" s="126" t="inlineStr">
        <is>
          <t>Current State</t>
        </is>
      </c>
      <c r="D12" s="126" t="inlineStr">
        <is>
          <t>Evidence</t>
        </is>
      </c>
      <c r="E12" s="126" t="inlineStr">
        <is>
          <t>Required Action</t>
        </is>
      </c>
    </row>
    <row r="13">
      <c r="A13" s="126" t="inlineStr">
        <is>
          <t>U1</t>
        </is>
      </c>
      <c r="B13" s="126" t="inlineStr">
        <is>
          <t>Structural Enforcement</t>
        </is>
      </c>
      <c r="C13" s="126" t="inlineStr">
        <is>
          <t>ENFORCED</t>
        </is>
      </c>
      <c r="D13" s="126" t="inlineStr">
        <is>
          <t>Atomic persistence, boundary shape, lifecycle invariant closed/proven.</t>
        </is>
      </c>
      <c r="E13" s="126" t="inlineStr">
        <is>
          <t>Protect; no new write paths.</t>
        </is>
      </c>
    </row>
    <row r="14">
      <c r="A14" s="126" t="inlineStr">
        <is>
          <t>U2</t>
        </is>
      </c>
      <c r="B14" s="126" t="inlineStr">
        <is>
          <t>Truth / Fidelity</t>
        </is>
      </c>
      <c r="C14" s="126" t="inlineStr">
        <is>
          <t>PARTIAL</t>
        </is>
      </c>
      <c r="D14" s="126" t="inlineStr">
        <is>
          <t>Confidence and anchors partially implemented; propagation/anti-washing/UI lock pending.</t>
        </is>
      </c>
      <c r="E14" s="126" t="inlineStr">
        <is>
          <t>Run live proof and close remaining RCAs.</t>
        </is>
      </c>
    </row>
    <row r="15">
      <c r="A15" s="126" t="inlineStr">
        <is>
          <t>U3</t>
        </is>
      </c>
      <c r="B15" s="126" t="inlineStr">
        <is>
          <t>Authority / Coherence</t>
        </is>
      </c>
      <c r="C15" s="126" t="inlineStr">
        <is>
          <t>BLOCKED</t>
        </is>
      </c>
      <c r="D15" s="126" t="inlineStr">
        <is>
          <t>U3 RCA set not defined until U2 proof closes.</t>
        </is>
      </c>
      <c r="E15" s="126" t="inlineStr">
        <is>
          <t>Do not start broad U3 until U2 enforced.</t>
        </is>
      </c>
    </row>
    <row r="16">
      <c r="A16" s="126" t="inlineStr">
        <is>
          <t>QUALITY</t>
        </is>
      </c>
      <c r="B16" s="126" t="inlineStr">
        <is>
          <t>Artifact Quality Authority</t>
        </is>
      </c>
      <c r="C16" s="126" t="inlineStr">
        <is>
          <t>NOT_ENFORCED</t>
        </is>
      </c>
      <c r="D16" s="126" t="inlineStr">
        <is>
          <t>PV115 completed but generic recommendations, confidence mismatch, and Pass 3 drift remain.</t>
        </is>
      </c>
      <c r="E16" s="126" t="inlineStr">
        <is>
          <t>Resolve RCA-EVAL-QUALITY-001.</t>
        </is>
      </c>
    </row>
    <row r="17">
      <c r="A17" s="126" t="inlineStr">
        <is>
          <t>ROADMAP</t>
        </is>
      </c>
      <c r="B17" s="126" t="inlineStr">
        <is>
          <t>Roadmap Source of Truth</t>
        </is>
      </c>
      <c r="C17" s="126" t="inlineStr">
        <is>
          <t>READY_FOR_REPO</t>
        </is>
      </c>
      <c r="D17" s="126" t="inlineStr">
        <is>
          <t>Workbook-only authority model accepted.</t>
        </is>
      </c>
      <c r="E17" s="126" t="inlineStr">
        <is>
          <t>Archive Markdown and CSV mirrors.</t>
        </is>
      </c>
    </row>
    <row r="18">
      <c r="A18" s="210" t="inlineStr">
        <is>
          <t>LIVE_PROOF_PENDING</t>
        </is>
      </c>
      <c r="B18" s="210" t="inlineStr">
        <is>
          <t>Implementation/test proof exists, but production/live server/API artifact proof is missing.</t>
        </is>
      </c>
      <c r="C18" s="210" t="inlineStr">
        <is>
          <t>U2 closure rows and current state</t>
        </is>
      </c>
      <c r="D18" s="210" t="inlineStr">
        <is>
          <t>YES</t>
        </is>
      </c>
      <c r="E18" s="210" t="n"/>
    </row>
    <row r="19">
      <c r="A19" s="210" t="inlineStr">
        <is>
          <t>READY_FOR_PR</t>
        </is>
      </c>
      <c r="B19" s="210" t="inlineStr">
        <is>
          <t>Fix is specified and scoped, but not yet applied/merged.</t>
        </is>
      </c>
      <c r="C19" s="210" t="inlineStr">
        <is>
          <t>Env typing and small test-only work</t>
        </is>
      </c>
      <c r="D19" s="210" t="inlineStr">
        <is>
          <t>YES</t>
        </is>
      </c>
      <c r="E19" s="210" t="n"/>
    </row>
    <row r="20">
      <c r="A20" s="210" t="inlineStr">
        <is>
          <t>ADVISORY_EVALUATION</t>
        </is>
      </c>
      <c r="B20" s="210" t="inlineStr">
        <is>
          <t>Limited evidence allows exploratory output but no tactical prescriptions/high authority.</t>
        </is>
      </c>
      <c r="C20" s="210" t="inlineStr">
        <is>
          <t>Acceptance policy</t>
        </is>
      </c>
      <c r="D20" s="210" t="inlineStr">
        <is>
          <t>YES</t>
        </is>
      </c>
      <c r="E20" s="210" t="n"/>
    </row>
    <row r="21">
      <c r="A21" s="210" t="inlineStr">
        <is>
          <t>INVALID_EVALUATION</t>
        </is>
      </c>
      <c r="B21" s="210" t="inlineStr">
        <is>
          <t>Generic heuristic drift, leakage, or traceability failure blocks publication.</t>
        </is>
      </c>
      <c r="C21" s="210" t="inlineStr">
        <is>
          <t>Acceptance policy / quality gate</t>
        </is>
      </c>
      <c r="D21" s="210" t="inlineStr">
        <is>
          <t>YES</t>
        </is>
      </c>
      <c r="E21" s="210" t="n"/>
    </row>
    <row r="22">
      <c r="A22" s="210" t="inlineStr">
        <is>
          <t>QUALITY_NOT_ENFORCED</t>
        </is>
      </c>
      <c r="B22" s="210" t="inlineStr">
        <is>
          <t>Structural validity exists but semantic specificity/authority is not yet enforced.</t>
        </is>
      </c>
      <c r="C22" s="210" t="inlineStr">
        <is>
          <t>Current State / Quality lane</t>
        </is>
      </c>
      <c r="D22" s="210" t="inlineStr">
        <is>
          <t>YES</t>
        </is>
      </c>
      <c r="E22" s="210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</cols>
  <sheetData>
    <row r="1" ht="15" customHeight="1" s="213">
      <c r="A1" s="266" t="inlineStr">
        <is>
          <t>RCA_ID</t>
        </is>
      </c>
      <c r="B1" s="266" t="inlineStr">
        <is>
          <t>Linked_Sheet</t>
        </is>
      </c>
      <c r="C1" s="266" t="inlineStr">
        <is>
          <t>Linked_Key_or_Row</t>
        </is>
      </c>
      <c r="D1" s="266" t="inlineStr">
        <is>
          <t>Relationship</t>
        </is>
      </c>
      <c r="E1" s="266" t="inlineStr">
        <is>
          <t>Update_Instruction</t>
        </is>
      </c>
      <c r="F1" s="266" t="n"/>
      <c r="G1" s="266" t="n"/>
      <c r="H1" s="266" t="n"/>
      <c r="I1" s="266" t="n"/>
      <c r="J1" s="266" t="n"/>
      <c r="K1" s="266" t="n"/>
    </row>
    <row r="2" ht="15" customHeight="1" s="213">
      <c r="A2" s="126" t="inlineStr">
        <is>
          <t>RCA-PASS1-TOKEN-001</t>
        </is>
      </c>
      <c r="B2" s="126" t="inlineStr">
        <is>
          <t>CURRENT_STATE</t>
        </is>
      </c>
      <c r="C2" s="126" t="inlineStr">
        <is>
          <t>PASS1_OUTPUT_FEASIBILITY</t>
        </is>
      </c>
      <c r="D2" s="126" t="inlineStr">
        <is>
          <t>Primary open blocker</t>
        </is>
      </c>
      <c r="E2" s="126" t="inlineStr">
        <is>
          <t>Show as OPEN / blocking gate reachability.</t>
        </is>
      </c>
      <c r="F2" s="126" t="n"/>
      <c r="G2" s="126" t="n"/>
      <c r="H2" s="126" t="n"/>
      <c r="I2" s="126" t="n"/>
      <c r="J2" s="126" t="n"/>
      <c r="K2" s="126" t="n"/>
    </row>
    <row r="3" ht="15" customHeight="1" s="213">
      <c r="A3" s="126" t="inlineStr">
        <is>
          <t>RCA-PASS1-TOKEN-001</t>
        </is>
      </c>
      <c r="B3" s="126" t="inlineStr">
        <is>
          <t>ROADMAP_LANES</t>
        </is>
      </c>
      <c r="C3" s="126" t="inlineStr">
        <is>
          <t>Pipeline Feasibility</t>
        </is>
      </c>
      <c r="D3" s="126" t="inlineStr">
        <is>
          <t>Lane blocker</t>
        </is>
      </c>
      <c r="E3" s="126" t="inlineStr">
        <is>
          <t>Do not treat as latency-only; this is feasibility/fidelity reachability.</t>
        </is>
      </c>
      <c r="F3" s="126" t="n"/>
      <c r="G3" s="126" t="n"/>
      <c r="H3" s="126" t="n"/>
      <c r="I3" s="126" t="n"/>
      <c r="J3" s="126" t="n"/>
      <c r="K3" s="126" t="n"/>
    </row>
    <row r="4" ht="15" customHeight="1" s="213">
      <c r="A4" s="126" t="inlineStr">
        <is>
          <t>RCA-PASS1-TOKEN-001</t>
        </is>
      </c>
      <c r="B4" s="126" t="inlineStr">
        <is>
          <t>Complete-Partially-Pending</t>
        </is>
      </c>
      <c r="C4" s="126" t="inlineStr">
        <is>
          <t>Pass1 output feasibility</t>
        </is>
      </c>
      <c r="D4" s="126" t="inlineStr">
        <is>
          <t>Pending/partial</t>
        </is>
      </c>
      <c r="E4" s="126" t="inlineStr">
        <is>
          <t>Use minimal unblocking patch before large latency work.</t>
        </is>
      </c>
      <c r="F4" s="126" t="n"/>
      <c r="G4" s="126" t="n"/>
      <c r="H4" s="126" t="n"/>
      <c r="I4" s="126" t="n"/>
      <c r="J4" s="126" t="n"/>
      <c r="K4" s="126" t="n"/>
    </row>
    <row r="5" ht="15" customHeight="1" s="213">
      <c r="A5" s="126" t="inlineStr">
        <is>
          <t>RCA-LLR-004-001</t>
        </is>
      </c>
      <c r="B5" s="126" t="inlineStr">
        <is>
          <t>CURRENT_STATE</t>
        </is>
      </c>
      <c r="C5" s="126" t="inlineStr">
        <is>
          <t>LLR_POST_STRUCTURAL_BLOCK / LLR-004</t>
        </is>
      </c>
      <c r="D5" s="126" t="inlineStr">
        <is>
          <t>Primary open blocker</t>
        </is>
      </c>
      <c r="E5" s="126" t="inlineStr">
        <is>
          <t>Keep AMBIGUOUS until failing Pass2 output is inspected.</t>
        </is>
      </c>
      <c r="F5" s="126" t="n"/>
      <c r="G5" s="126" t="n"/>
      <c r="H5" s="126" t="n"/>
      <c r="I5" s="126" t="n"/>
      <c r="J5" s="126" t="n"/>
      <c r="K5" s="126" t="n"/>
    </row>
    <row r="6" ht="15" customHeight="1" s="213">
      <c r="A6" s="126" t="inlineStr">
        <is>
          <t>RCA-LLR-004-001</t>
        </is>
      </c>
      <c r="B6" s="126" t="inlineStr">
        <is>
          <t>ROADMAP_LANES</t>
        </is>
      </c>
      <c r="C6" s="126" t="inlineStr">
        <is>
          <t>Governance / Pipeline Feasibility</t>
        </is>
      </c>
      <c r="D6" s="126" t="inlineStr">
        <is>
          <t>Calibration blocker</t>
        </is>
      </c>
      <c r="E6" s="126" t="inlineStr">
        <is>
          <t>Separate model invalidity from rule strictness and registry drift.</t>
        </is>
      </c>
      <c r="F6" s="126" t="n"/>
      <c r="G6" s="126" t="n"/>
      <c r="H6" s="126" t="n"/>
      <c r="I6" s="126" t="n"/>
      <c r="J6" s="126" t="n"/>
      <c r="K6" s="126" t="n"/>
    </row>
    <row r="7" ht="15" customHeight="1" s="213">
      <c r="A7" s="126" t="inlineStr">
        <is>
          <t>RCA-DIALOGUE-GATE-001</t>
        </is>
      </c>
      <c r="B7" s="126" t="inlineStr">
        <is>
          <t>CURRENT_STATE</t>
        </is>
      </c>
      <c r="C7" s="126" t="inlineStr">
        <is>
          <t>Dialogue Gate V2</t>
        </is>
      </c>
      <c r="D7" s="126" t="inlineStr">
        <is>
          <t>Resolved gate-level proof</t>
        </is>
      </c>
      <c r="E7" s="126" t="inlineStr">
        <is>
          <t>Keep closed unless fresh post-fix evidence reopens.</t>
        </is>
      </c>
      <c r="F7" s="126" t="n"/>
      <c r="G7" s="126" t="n"/>
      <c r="H7" s="126" t="n"/>
      <c r="I7" s="126" t="n"/>
      <c r="J7" s="126" t="n"/>
      <c r="K7" s="126" t="n"/>
    </row>
    <row r="8" ht="15" customHeight="1" s="213">
      <c r="A8" s="126" t="inlineStr">
        <is>
          <t>RCA-DIALOGUE-GATE-001</t>
        </is>
      </c>
      <c r="B8" s="126" t="inlineStr">
        <is>
          <t>Complete-Partially-Pending</t>
        </is>
      </c>
      <c r="C8" s="126" t="inlineStr">
        <is>
          <t>Dialogue Gate V2</t>
        </is>
      </c>
      <c r="D8" s="126" t="inlineStr">
        <is>
          <t>Completed with caveat</t>
        </is>
      </c>
      <c r="E8" s="126" t="inlineStr">
        <is>
          <t>Caveat: upstream reachability can mask further proof.</t>
        </is>
      </c>
      <c r="F8" s="126" t="n"/>
      <c r="G8" s="126" t="n"/>
      <c r="H8" s="126" t="n"/>
      <c r="I8" s="126" t="n"/>
      <c r="J8" s="126" t="n"/>
      <c r="K8" s="126" t="n"/>
    </row>
    <row r="9" ht="15" customHeight="1" s="213">
      <c r="A9" s="126" t="inlineStr">
        <is>
          <t>RCA-ATOMIC-PERSISTENCE-001</t>
        </is>
      </c>
      <c r="B9" s="126" t="inlineStr">
        <is>
          <t>CURRENT_STATE</t>
        </is>
      </c>
      <c r="C9" s="126" t="inlineStr">
        <is>
          <t>Atomic persistence RPC</t>
        </is>
      </c>
      <c r="D9" s="126" t="inlineStr">
        <is>
          <t>Resolved proof row</t>
        </is>
      </c>
      <c r="E9" s="126" t="inlineStr">
        <is>
          <t>Keep as release guard / proof evidence.</t>
        </is>
      </c>
      <c r="F9" s="126" t="n"/>
      <c r="G9" s="126" t="n"/>
      <c r="H9" s="126" t="n"/>
      <c r="I9" s="126" t="n"/>
      <c r="J9" s="126" t="n"/>
      <c r="K9" s="126" t="n"/>
    </row>
    <row r="10" ht="15" customHeight="1" s="213">
      <c r="A10" s="126" t="inlineStr">
        <is>
          <t>RCA-ATOMIC-PERSISTENCE-001</t>
        </is>
      </c>
      <c r="B10" s="126" t="inlineStr">
        <is>
          <t>Complete-Partially-Pending</t>
        </is>
      </c>
      <c r="C10" s="126" t="inlineStr">
        <is>
          <t>Atomicity / production proof</t>
        </is>
      </c>
      <c r="D10" s="126" t="inlineStr">
        <is>
          <t>Completed</t>
        </is>
      </c>
      <c r="E10" s="126" t="inlineStr">
        <is>
          <t>No action unless regression appears.</t>
        </is>
      </c>
      <c r="F10" s="126" t="n"/>
      <c r="G10" s="126" t="n"/>
      <c r="H10" s="126" t="n"/>
      <c r="I10" s="126" t="n"/>
      <c r="J10" s="126" t="n"/>
      <c r="K10" s="126" t="n"/>
    </row>
    <row r="11" ht="15" customHeight="1" s="213">
      <c r="A11" s="126" t="inlineStr">
        <is>
          <t>RCA-FAILURE-ENVELOPE-001</t>
        </is>
      </c>
      <c r="B11" s="126" t="inlineStr">
        <is>
          <t>CURRENT_STATE</t>
        </is>
      </c>
      <c r="C11" s="126" t="inlineStr">
        <is>
          <t>Failure Diagnostics</t>
        </is>
      </c>
      <c r="D11" s="126" t="inlineStr">
        <is>
          <t>Partial/open diagnostic proof</t>
        </is>
      </c>
      <c r="E11" s="126" t="inlineStr">
        <is>
          <t>Need fresh non-null diagnostics sample.</t>
        </is>
      </c>
      <c r="F11" s="126" t="n"/>
      <c r="G11" s="126" t="n"/>
      <c r="H11" s="126" t="n"/>
      <c r="I11" s="126" t="n"/>
      <c r="J11" s="126" t="n"/>
      <c r="K11" s="126" t="n"/>
    </row>
    <row r="12" ht="15" customHeight="1" s="213">
      <c r="A12" s="126" t="inlineStr">
        <is>
          <t>RCA-U2-001</t>
        </is>
      </c>
      <c r="B12" s="126" t="inlineStr">
        <is>
          <t>CURRENT_STATE</t>
        </is>
      </c>
      <c r="C12" s="126" t="inlineStr">
        <is>
          <t>U2_PROPAGATION / U2_SCORE_CONFIDENCE_MISMATCH</t>
        </is>
      </c>
      <c r="D12" s="126" t="inlineStr">
        <is>
          <t>Primary U2 failure class</t>
        </is>
      </c>
      <c r="E12" s="126" t="inlineStr">
        <is>
          <t>Show as NOT_STARTED; blocked by RCA-U2-003 until confidence derivation exists.</t>
        </is>
      </c>
      <c r="F12" s="126" t="n"/>
      <c r="G12" s="126" t="n"/>
      <c r="H12" s="126" t="n"/>
      <c r="I12" s="126" t="n"/>
      <c r="J12" s="126" t="n"/>
      <c r="K12" s="126" t="n"/>
    </row>
    <row r="13" ht="15" customHeight="1" s="213">
      <c r="A13" s="126" t="inlineStr">
        <is>
          <t>RCA-U2-001</t>
        </is>
      </c>
      <c r="B13" s="126" t="inlineStr">
        <is>
          <t>EXECUTION_BLOCK</t>
        </is>
      </c>
      <c r="C13" s="126" t="inlineStr">
        <is>
          <t>STEP 3</t>
        </is>
      </c>
      <c r="D13" s="126" t="inlineStr">
        <is>
          <t>Execution sequencing</t>
        </is>
      </c>
      <c r="E13" s="126" t="inlineStr">
        <is>
          <t>Close after RCA-U2-003 and RCA-U2-004 inputs are stable enough for gate check.</t>
        </is>
      </c>
      <c r="F13" s="126" t="n"/>
      <c r="G13" s="126" t="n"/>
      <c r="H13" s="126" t="n"/>
      <c r="I13" s="126" t="n"/>
      <c r="J13" s="126" t="n"/>
      <c r="K13" s="126" t="n"/>
    </row>
    <row r="14" ht="15" customHeight="1" s="213">
      <c r="A14" s="126" t="inlineStr">
        <is>
          <t>RCA-U2-002</t>
        </is>
      </c>
      <c r="B14" s="126" t="inlineStr">
        <is>
          <t>EXECUTION_BLOCK</t>
        </is>
      </c>
      <c r="C14" s="126" t="inlineStr">
        <is>
          <t>STEP 5 / PASS3_SYNTHESIS</t>
        </is>
      </c>
      <c r="D14" s="126" t="inlineStr">
        <is>
          <t>Execution sequencing</t>
        </is>
      </c>
      <c r="E14" s="126" t="inlineStr">
        <is>
          <t>Anti-washing closes after RCA-U2-006 anchor enforcement is defined.</t>
        </is>
      </c>
      <c r="F14" s="126" t="n"/>
      <c r="G14" s="126" t="n"/>
      <c r="H14" s="126" t="n"/>
      <c r="I14" s="126" t="n"/>
      <c r="J14" s="126" t="n"/>
      <c r="K14" s="126" t="n"/>
    </row>
    <row r="15" ht="15" customHeight="1" s="213">
      <c r="A15" s="126" t="inlineStr">
        <is>
          <t>RCA-U2-003</t>
        </is>
      </c>
      <c r="B15" s="126" t="inlineStr">
        <is>
          <t>CURRENT_STATE</t>
        </is>
      </c>
      <c r="C15" s="126" t="inlineStr">
        <is>
          <t>CONFIDENCE_SYSTEM</t>
        </is>
      </c>
      <c r="D15" s="126" t="inlineStr">
        <is>
          <t>Primary U2 prerequisite</t>
        </is>
      </c>
      <c r="E15" s="126" t="inlineStr">
        <is>
          <t>First U2 closure item; all downstream U2 authority depends on it.</t>
        </is>
      </c>
      <c r="F15" s="126" t="n"/>
      <c r="G15" s="126" t="n"/>
      <c r="H15" s="126" t="n"/>
      <c r="I15" s="126" t="n"/>
      <c r="J15" s="126" t="n"/>
      <c r="K15" s="126" t="n"/>
    </row>
    <row r="16" ht="15" customHeight="1" s="213">
      <c r="A16" s="126" t="inlineStr">
        <is>
          <t>RCA-U2-003</t>
        </is>
      </c>
      <c r="B16" s="126" t="inlineStr">
        <is>
          <t>EXECUTION_BLOCK</t>
        </is>
      </c>
      <c r="C16" s="126" t="inlineStr">
        <is>
          <t>STEP 1</t>
        </is>
      </c>
      <c r="D16" s="126" t="inlineStr">
        <is>
          <t>Execution sequencing</t>
        </is>
      </c>
      <c r="E16" s="126" t="inlineStr">
        <is>
          <t>Start U2 implementation here.</t>
        </is>
      </c>
      <c r="F16" s="126" t="n"/>
      <c r="G16" s="126" t="n"/>
      <c r="H16" s="126" t="n"/>
      <c r="I16" s="126" t="n"/>
      <c r="J16" s="126" t="n"/>
      <c r="K16" s="126" t="n"/>
    </row>
    <row r="17" ht="15" customHeight="1" s="213">
      <c r="A17" s="126" t="inlineStr">
        <is>
          <t>RCA-U2-004</t>
        </is>
      </c>
      <c r="B17" s="126" t="inlineStr">
        <is>
          <t>EXECUTION_BLOCK</t>
        </is>
      </c>
      <c r="C17" s="126" t="inlineStr">
        <is>
          <t>STEP 2 / U2_PROPAGATION</t>
        </is>
      </c>
      <c r="D17" s="126" t="inlineStr">
        <is>
          <t>Execution sequencing</t>
        </is>
      </c>
      <c r="E17" s="126" t="inlineStr">
        <is>
          <t>Close after RCA-U2-003; supplies upstreamIntegrity for gate/UI.</t>
        </is>
      </c>
      <c r="F17" s="126" t="n"/>
      <c r="G17" s="126" t="n"/>
      <c r="H17" s="126" t="n"/>
      <c r="I17" s="126" t="n"/>
      <c r="J17" s="126" t="n"/>
      <c r="K17" s="126" t="n"/>
    </row>
    <row r="18" ht="15" customHeight="1" s="213">
      <c r="A18" s="126" t="inlineStr">
        <is>
          <t>RCA-U2-004</t>
        </is>
      </c>
      <c r="B18" s="126" t="inlineStr">
        <is>
          <t>ROADMAP_LANES</t>
        </is>
      </c>
      <c r="C18" s="126" t="inlineStr">
        <is>
          <t>Governance / Artifact Quality / Confidence</t>
        </is>
      </c>
      <c r="D18" s="126" t="inlineStr">
        <is>
          <t>Lane blocker</t>
        </is>
      </c>
      <c r="E18" s="126" t="inlineStr">
        <is>
          <t>Replace prose U2 blocker with this RCA dependency.</t>
        </is>
      </c>
      <c r="F18" s="126" t="n"/>
      <c r="G18" s="126" t="n"/>
      <c r="H18" s="126" t="n"/>
      <c r="I18" s="126" t="n"/>
      <c r="J18" s="126" t="n"/>
      <c r="K18" s="126" t="n"/>
    </row>
    <row r="19" ht="15" customHeight="1" s="213">
      <c r="A19" s="126" t="inlineStr">
        <is>
          <t>RCA-U2-005</t>
        </is>
      </c>
      <c r="B19" s="126" t="inlineStr">
        <is>
          <t>ROADMAP_LANES</t>
        </is>
      </c>
      <c r="C19" s="126" t="inlineStr">
        <is>
          <t>User UI / UI_AUTHORITY</t>
        </is>
      </c>
      <c r="D19" s="126" t="inlineStr">
        <is>
          <t>Lane blocker</t>
        </is>
      </c>
      <c r="E19" s="126" t="inlineStr">
        <is>
          <t>Close after RCA-U2-004; UI authority must read propagation topology.</t>
        </is>
      </c>
      <c r="F19" s="126" t="n"/>
      <c r="G19" s="126" t="n"/>
      <c r="H19" s="126" t="n"/>
      <c r="I19" s="126" t="n"/>
      <c r="J19" s="126" t="n"/>
      <c r="K19" s="126" t="n"/>
    </row>
    <row r="20" ht="15" customHeight="1" s="213">
      <c r="A20" s="126" t="inlineStr">
        <is>
          <t>RCA-U2-005</t>
        </is>
      </c>
      <c r="B20" s="126" t="inlineStr">
        <is>
          <t>EXECUTION_BLOCK</t>
        </is>
      </c>
      <c r="C20" s="126" t="inlineStr">
        <is>
          <t>STEP 6</t>
        </is>
      </c>
      <c r="D20" s="126" t="inlineStr">
        <is>
          <t>Execution sequencing</t>
        </is>
      </c>
      <c r="E20" s="126" t="inlineStr">
        <is>
          <t>Final UI authority lock after backend propagation exists.</t>
        </is>
      </c>
      <c r="F20" s="126" t="n"/>
      <c r="G20" s="126" t="n"/>
      <c r="H20" s="126" t="n"/>
      <c r="I20" s="126" t="n"/>
      <c r="J20" s="126" t="n"/>
      <c r="K20" s="126" t="n"/>
    </row>
    <row r="21" ht="15" customHeight="1" s="213">
      <c r="A21" s="126" t="inlineStr">
        <is>
          <t>RCA-U2-006</t>
        </is>
      </c>
      <c r="B21" s="126" t="inlineStr">
        <is>
          <t>CURRENT_STATE</t>
        </is>
      </c>
      <c r="C21" s="126" t="inlineStr">
        <is>
          <t>EVIDENCE_VALIDATION</t>
        </is>
      </c>
      <c r="D21" s="126" t="inlineStr">
        <is>
          <t>Primary U2 failure class</t>
        </is>
      </c>
      <c r="E21" s="126" t="inlineStr">
        <is>
          <t>Anchor/citation enforcement only; do not merge with confidence derivation or score mismatch.</t>
        </is>
      </c>
      <c r="F21" s="126" t="n"/>
      <c r="G21" s="126" t="n"/>
      <c r="H21" s="126" t="n"/>
      <c r="I21" s="126" t="n"/>
      <c r="J21" s="126" t="n"/>
      <c r="K21" s="126" t="n"/>
    </row>
    <row r="22" ht="15" customHeight="1" s="213">
      <c r="A22" s="126" t="inlineStr">
        <is>
          <t>RCA-U2-006</t>
        </is>
      </c>
      <c r="B22" s="126" t="inlineStr">
        <is>
          <t>EXECUTION_BLOCK</t>
        </is>
      </c>
      <c r="C22" s="126" t="inlineStr">
        <is>
          <t>STEP 4</t>
        </is>
      </c>
      <c r="D22" s="126" t="inlineStr">
        <is>
          <t>Execution sequencing</t>
        </is>
      </c>
      <c r="E22" s="126" t="inlineStr">
        <is>
          <t>Close before RCA-U2-002 so anti-washing references concrete evidence.</t>
        </is>
      </c>
      <c r="F22" s="126" t="n"/>
      <c r="G22" s="126" t="n"/>
      <c r="H22" s="126" t="n"/>
      <c r="I22" s="126" t="n"/>
      <c r="J22" s="126" t="n"/>
      <c r="K22" s="126" t="n"/>
    </row>
    <row r="23" ht="15" customHeight="1" s="213">
      <c r="A23" s="126" t="inlineStr">
        <is>
          <t>RCA-BOUNDARY-SHAPE-001</t>
        </is>
      </c>
      <c r="B23" s="126" t="inlineStr">
        <is>
          <t>CURRENT_STATE</t>
        </is>
      </c>
      <c r="C23" s="126" t="inlineStr">
        <is>
          <t>BOUNDARY_VALIDATION / BOUNDARY_VALIDATION_SHAPE_GAP</t>
        </is>
      </c>
      <c r="D23" s="126" t="inlineStr">
        <is>
          <t>Resolved validation-risk row</t>
        </is>
      </c>
      <c r="E23" s="126" t="inlineStr">
        <is>
          <t>Boundary validation can now show ENFORCED without calibration uncertainty; keep PASS-path regression as guard.</t>
        </is>
      </c>
      <c r="F23" s="126" t="n"/>
      <c r="G23" s="126" t="n"/>
      <c r="H23" s="126" t="n"/>
      <c r="I23" s="126" t="n"/>
      <c r="J23" s="126" t="n"/>
      <c r="K23" s="126" t="n"/>
    </row>
    <row r="24" ht="15" customHeight="1" s="213">
      <c r="A24" s="126" t="inlineStr">
        <is>
          <t>RCA-BOUNDARY-SHAPE-001</t>
        </is>
      </c>
      <c r="B24" s="126" t="inlineStr">
        <is>
          <t>ROADMAP_LANES</t>
        </is>
      </c>
      <c r="C24" s="126" t="inlineStr">
        <is>
          <t>Persistence / Boundary</t>
        </is>
      </c>
      <c r="D24" s="126" t="inlineStr">
        <is>
          <t>Resolved lane proof</t>
        </is>
      </c>
      <c r="E24" s="126" t="inlineStr">
        <is>
          <t>Persistence / Boundary lane may state boundary raw-shape gap RESOLVED; future schema changes require re-proof.</t>
        </is>
      </c>
      <c r="F24" s="126" t="n"/>
      <c r="G24" s="126" t="n"/>
      <c r="H24" s="126" t="n"/>
      <c r="I24" s="126" t="n"/>
      <c r="J24" s="126" t="n"/>
      <c r="K24" s="126" t="n"/>
    </row>
    <row r="25" ht="15" customHeight="1" s="213">
      <c r="A25" s="126" t="inlineStr">
        <is>
          <t>RCA-BOUNDARY-SHAPE-001</t>
        </is>
      </c>
      <c r="B25" s="126" t="inlineStr">
        <is>
          <t>EXECUTION_BLOCK</t>
        </is>
      </c>
      <c r="C25" s="126" t="inlineStr">
        <is>
          <t>PARALLEL_VALIDATION_TRACK</t>
        </is>
      </c>
      <c r="D25" s="126" t="inlineStr">
        <is>
          <t>Closed parallel proof track</t>
        </is>
      </c>
      <c r="E25" s="126" t="inlineStr">
        <is>
          <t>No longer blocks cockpit honesty; U2 execution may proceed with boundary risk closed.</t>
        </is>
      </c>
      <c r="F25" s="126" t="n"/>
      <c r="G25" s="126" t="n"/>
      <c r="H25" s="126" t="n"/>
      <c r="I25" s="126" t="n"/>
      <c r="J25" s="126" t="n"/>
      <c r="K25" s="126" t="n"/>
    </row>
    <row r="26" ht="15" customHeight="1" s="213">
      <c r="A26" s="126" t="inlineStr">
        <is>
          <t>PV115-GOLDEN-FIXTURE</t>
        </is>
      </c>
      <c r="B26" s="126" t="inlineStr">
        <is>
          <t>VERIFICATION_ARTIFACTS</t>
        </is>
      </c>
      <c r="C26" s="126" t="inlineStr">
        <is>
          <t>PV115-GOLDEN-FIXTURE</t>
        </is>
      </c>
      <c r="D26" s="126" t="inlineStr">
        <is>
          <t>Verification artifact, not RCA</t>
        </is>
      </c>
      <c r="E26" s="126" t="inlineStr">
        <is>
          <t>Requires U2 RCAs closed before it can mark U2 proof-ready.</t>
        </is>
      </c>
      <c r="F26" s="126" t="n"/>
      <c r="G26" s="126" t="n"/>
      <c r="H26" s="126" t="n"/>
      <c r="I26" s="126" t="n"/>
      <c r="J26" s="126" t="n"/>
      <c r="K26" s="126" t="n"/>
    </row>
    <row r="27" ht="15" customHeight="1" s="213">
      <c r="A27" s="126" t="inlineStr">
        <is>
          <t>PV115-GOLDEN-FIXTURE</t>
        </is>
      </c>
      <c r="B27" s="126" t="inlineStr">
        <is>
          <t>EXECUTION_BLOCK</t>
        </is>
      </c>
      <c r="C27" s="126" t="inlineStr">
        <is>
          <t>STEP 7</t>
        </is>
      </c>
      <c r="D27" s="126" t="inlineStr">
        <is>
          <t>Proof step</t>
        </is>
      </c>
      <c r="E27" s="126" t="inlineStr">
        <is>
          <t>Keep as verification artifact and do not count as RCA-U2-007.</t>
        </is>
      </c>
      <c r="F27" s="126" t="n"/>
      <c r="G27" s="126" t="n"/>
      <c r="H27" s="126" t="n"/>
      <c r="I27" s="126" t="n"/>
      <c r="J27" s="126" t="n"/>
      <c r="K27" s="126" t="n"/>
    </row>
    <row r="28">
      <c r="A28" s="126" t="n"/>
      <c r="B28" s="126" t="n"/>
      <c r="C28" s="126" t="n"/>
      <c r="D28" s="126" t="n"/>
      <c r="E28" s="126" t="n"/>
      <c r="F28" s="126" t="n"/>
      <c r="G28" s="126" t="n"/>
      <c r="H28" s="126" t="n"/>
      <c r="I28" s="126" t="n"/>
      <c r="J28" s="126" t="n"/>
      <c r="K28" s="126" t="n"/>
    </row>
    <row r="29">
      <c r="A29" s="126" t="n"/>
      <c r="B29" s="126" t="n"/>
      <c r="C29" s="126" t="n"/>
      <c r="D29" s="126" t="n"/>
      <c r="E29" s="126" t="n"/>
      <c r="F29" s="126" t="n"/>
      <c r="G29" s="126" t="n"/>
      <c r="H29" s="126" t="n"/>
      <c r="I29" s="126" t="n"/>
      <c r="J29" s="126" t="n"/>
      <c r="K29" s="126" t="n"/>
    </row>
    <row r="30">
      <c r="A30" s="126" t="n"/>
      <c r="B30" s="126" t="n"/>
      <c r="C30" s="126" t="n"/>
      <c r="D30" s="126" t="n"/>
      <c r="E30" s="126" t="n"/>
      <c r="F30" s="126" t="n"/>
      <c r="G30" s="126" t="n"/>
      <c r="H30" s="126" t="n"/>
      <c r="I30" s="126" t="n"/>
      <c r="J30" s="126" t="n"/>
      <c r="K30" s="126" t="n"/>
    </row>
    <row r="31">
      <c r="A31" s="126" t="inlineStr">
        <is>
          <t>RCA-U2-003</t>
        </is>
      </c>
      <c r="B31" s="126" t="inlineStr">
        <is>
          <t>Complete-Partially-Pending</t>
        </is>
      </c>
      <c r="C31" s="126" t="inlineStr">
        <is>
          <t>RCA-U2-003 derived confidence</t>
        </is>
      </c>
      <c r="D31" s="126" t="inlineStr">
        <is>
          <t>Partial/local proof view</t>
        </is>
      </c>
      <c r="E31" s="126" t="inlineStr">
        <is>
          <t>Keep PARTIAL until committed remote branch and live server/API artifact proof exist.</t>
        </is>
      </c>
      <c r="F31" s="126" t="n"/>
      <c r="G31" s="126" t="n"/>
      <c r="H31" s="126" t="n"/>
      <c r="I31" s="126" t="n"/>
      <c r="J31" s="126" t="n"/>
      <c r="K31" s="126" t="n"/>
    </row>
    <row r="32">
      <c r="A32" s="126" t="inlineStr">
        <is>
          <t>RCA-U2-006</t>
        </is>
      </c>
      <c r="B32" s="126" t="inlineStr">
        <is>
          <t>Complete-Partially-Pending</t>
        </is>
      </c>
      <c r="C32" s="126" t="inlineStr">
        <is>
          <t>RCA-U2-006 evidence anchor enforcement</t>
        </is>
      </c>
      <c r="D32" s="126" t="inlineStr">
        <is>
          <t>Partial/local proof view</t>
        </is>
      </c>
      <c r="E32" s="126" t="inlineStr">
        <is>
          <t>Keep PARTIAL until NO_TEXTUAL_ANCHOR changes are pushed and live proof exists.</t>
        </is>
      </c>
      <c r="F32" s="126" t="n"/>
      <c r="G32" s="126" t="n"/>
      <c r="H32" s="126" t="n"/>
      <c r="I32" s="126" t="n"/>
      <c r="J32" s="126" t="n"/>
      <c r="K32" s="126" t="n"/>
    </row>
    <row r="33">
      <c r="A33" s="126" t="inlineStr">
        <is>
          <t>RCA-U2-003</t>
        </is>
      </c>
      <c r="B33" s="126" t="inlineStr">
        <is>
          <t>SOURCE_INDEX</t>
        </is>
      </c>
      <c r="C33" s="126" t="inlineStr">
        <is>
          <t>Local-vs-remote U2 verification</t>
        </is>
      </c>
      <c r="D33" s="126" t="inlineStr">
        <is>
          <t>Evidence source</t>
        </is>
      </c>
      <c r="E33" s="126" t="inlineStr">
        <is>
          <t>Do not use Phase 2E/RLS logs to close U2.</t>
        </is>
      </c>
      <c r="F33" s="126" t="n"/>
      <c r="G33" s="126" t="n"/>
      <c r="H33" s="126" t="n"/>
      <c r="I33" s="126" t="n"/>
      <c r="J33" s="126" t="n"/>
      <c r="K33" s="126" t="n"/>
    </row>
    <row r="34">
      <c r="A34" s="126" t="inlineStr">
        <is>
          <t>RCA-U2-006</t>
        </is>
      </c>
      <c r="B34" s="126" t="inlineStr">
        <is>
          <t>SOURCE_INDEX</t>
        </is>
      </c>
      <c r="C34" s="126" t="inlineStr">
        <is>
          <t>Local-vs-remote U2 verification</t>
        </is>
      </c>
      <c r="D34" s="126" t="inlineStr">
        <is>
          <t>Evidence source</t>
        </is>
      </c>
      <c r="E34" s="126" t="inlineStr">
        <is>
          <t>Do not use Phase 2E/RLS logs to close U2.</t>
        </is>
      </c>
      <c r="F34" s="126" t="n"/>
      <c r="G34" s="126" t="n"/>
      <c r="H34" s="126" t="n"/>
      <c r="I34" s="126" t="n"/>
      <c r="J34" s="126" t="n"/>
      <c r="K34" s="126" t="n"/>
    </row>
    <row r="35">
      <c r="A35" s="126" t="inlineStr">
        <is>
          <t>RCA ID</t>
        </is>
      </c>
      <c r="B35" s="126" t="inlineStr">
        <is>
          <t>Layer</t>
        </is>
      </c>
      <c r="C35" s="126" t="inlineStr">
        <is>
          <t>Concern</t>
        </is>
      </c>
      <c r="D35" s="126" t="inlineStr">
        <is>
          <t>Code / DB Surfaces</t>
        </is>
      </c>
      <c r="E35" s="126" t="inlineStr">
        <is>
          <t>Enforcement Signal</t>
        </is>
      </c>
      <c r="F35" s="126" t="inlineStr">
        <is>
          <t>Status</t>
        </is>
      </c>
      <c r="G35" s="126" t="n"/>
      <c r="H35" s="126" t="n"/>
      <c r="I35" s="126" t="n"/>
      <c r="J35" s="126" t="n"/>
      <c r="K35" s="126" t="n"/>
    </row>
    <row r="36">
      <c r="A36" s="126" t="inlineStr">
        <is>
          <t>RCA-ATOMIC-PERSISTENCE-001</t>
        </is>
      </c>
      <c r="B36" s="126" t="inlineStr">
        <is>
          <t>U1</t>
        </is>
      </c>
      <c r="C36" s="126" t="inlineStr">
        <is>
          <t>Persistence boundary</t>
        </is>
      </c>
      <c r="D36" s="126" t="inlineStr">
        <is>
          <t>evaluation_artifacts; evaluation_jobs; persist_evaluation_v2_atomic</t>
        </is>
      </c>
      <c r="E36" s="126" t="inlineStr">
        <is>
          <t>Atomic commit/rollback; no partial artifact completion</t>
        </is>
      </c>
      <c r="F36" s="126" t="inlineStr">
        <is>
          <t>COMPLETE</t>
        </is>
      </c>
      <c r="G36" s="126" t="n"/>
      <c r="H36" s="126" t="n"/>
      <c r="I36" s="126" t="n"/>
      <c r="J36" s="126" t="n"/>
      <c r="K36" s="126" t="n"/>
    </row>
    <row r="37">
      <c r="A37" s="126" t="inlineStr">
        <is>
          <t>RCA-BOUNDARY-SHAPE-001</t>
        </is>
      </c>
      <c r="B37" s="126" t="inlineStr">
        <is>
          <t>U1</t>
        </is>
      </c>
      <c r="C37" s="126" t="inlineStr">
        <is>
          <t>Boundary shape</t>
        </is>
      </c>
      <c r="D37" s="126" t="inlineStr">
        <is>
          <t>evaluation_jobs.progress.gate_enforcement; EvaluationResultV2</t>
        </is>
      </c>
      <c r="E37" s="126" t="inlineStr">
        <is>
          <t>Gate decision/projection visible in progress JSONB</t>
        </is>
      </c>
      <c r="F37" s="126" t="inlineStr">
        <is>
          <t>COMPLETE</t>
        </is>
      </c>
      <c r="G37" s="126" t="n"/>
      <c r="H37" s="126" t="n"/>
      <c r="I37" s="126" t="n"/>
      <c r="J37" s="126" t="n"/>
      <c r="K37" s="126" t="n"/>
    </row>
    <row r="38">
      <c r="A38" s="126" t="inlineStr">
        <is>
          <t>RCA-JOB-LIFECYCLE-001</t>
        </is>
      </c>
      <c r="B38" s="126" t="inlineStr">
        <is>
          <t>Lifecycle</t>
        </is>
      </c>
      <c r="C38" s="126" t="inlineStr">
        <is>
          <t>Claim/run invariant</t>
        </is>
      </c>
      <c r="D38" s="126" t="inlineStr">
        <is>
          <t>evaluation_jobs status/claim fields; processor; claim RPC</t>
        </is>
      </c>
      <c r="E38" s="126" t="inlineStr">
        <is>
          <t>running rows cannot exist without claim metadata</t>
        </is>
      </c>
      <c r="F38" s="126" t="inlineStr">
        <is>
          <t>COMPLETE</t>
        </is>
      </c>
      <c r="G38" s="126" t="n"/>
      <c r="H38" s="126" t="n"/>
      <c r="I38" s="126" t="n"/>
      <c r="J38" s="126" t="n"/>
      <c r="K38" s="126" t="n"/>
    </row>
    <row r="39">
      <c r="A39" s="126" t="inlineStr">
        <is>
          <t>RCA-U2-003</t>
        </is>
      </c>
      <c r="B39" s="126" t="inlineStr">
        <is>
          <t>U2</t>
        </is>
      </c>
      <c r="C39" s="126" t="inlineStr">
        <is>
          <t>Confidence derivation</t>
        </is>
      </c>
      <c r="D39" s="126" t="inlineStr">
        <is>
          <t>runPipeline; evaluation-result-v2 schema; propagationIntegrity</t>
        </is>
      </c>
      <c r="E39" s="126" t="inlineStr">
        <is>
          <t>confidence_label/reasons deterministically derived</t>
        </is>
      </c>
      <c r="F39" s="126" t="inlineStr">
        <is>
          <t>PARTIAL</t>
        </is>
      </c>
      <c r="G39" s="126" t="n"/>
      <c r="H39" s="126" t="n"/>
      <c r="I39" s="126" t="n"/>
      <c r="J39" s="126" t="n"/>
      <c r="K39" s="126" t="n"/>
    </row>
    <row r="40">
      <c r="A40" s="126" t="inlineStr">
        <is>
          <t>RCA-U2-006</t>
        </is>
      </c>
      <c r="B40" s="126" t="inlineStr">
        <is>
          <t>U2</t>
        </is>
      </c>
      <c r="C40" s="126" t="inlineStr">
        <is>
          <t>Anchor enforcement</t>
        </is>
      </c>
      <c r="D40" s="126" t="inlineStr">
        <is>
          <t>runPass2; pipeline types; anchor tests</t>
        </is>
      </c>
      <c r="E40" s="126" t="inlineStr">
        <is>
          <t>NO_TEXTUAL_ANCHOR / anchor support enforcement</t>
        </is>
      </c>
      <c r="F40" s="126" t="inlineStr">
        <is>
          <t>PARTIAL</t>
        </is>
      </c>
      <c r="G40" s="126" t="n"/>
      <c r="H40" s="126" t="n"/>
      <c r="I40" s="126" t="n"/>
      <c r="J40" s="126" t="n"/>
      <c r="K40" s="126" t="n"/>
    </row>
    <row r="41">
      <c r="A41" s="126" t="inlineStr">
        <is>
          <t>RCA-EVAL-QUALITY-001</t>
        </is>
      </c>
      <c r="B41" s="126" t="inlineStr">
        <is>
          <t>U2/U3</t>
        </is>
      </c>
      <c r="C41" s="126" t="inlineStr">
        <is>
          <t>Artifact quality authority</t>
        </is>
      </c>
      <c r="D41" s="126" t="inlineStr">
        <is>
          <t>qualityGate; Pass3 synthesis; recommendation sanitizer; UI output</t>
        </is>
      </c>
      <c r="E41" s="126" t="inlineStr">
        <is>
          <t>No generic, unsupported, over-authoritative recommendations</t>
        </is>
      </c>
      <c r="F41" s="126" t="inlineStr">
        <is>
          <t>PENDING</t>
        </is>
      </c>
      <c r="G41" s="126" t="n"/>
      <c r="H41" s="126" t="n"/>
      <c r="I41" s="126" t="n"/>
      <c r="J41" s="126" t="n"/>
      <c r="K41" s="126" t="n"/>
    </row>
    <row r="42">
      <c r="A42" s="210" t="inlineStr">
        <is>
          <t>RCA-EVAL-QUALITY-001</t>
        </is>
      </c>
      <c r="B42" s="210" t="inlineStr">
        <is>
          <t>ROOT_CAUSE_ANALYSIS</t>
        </is>
      </c>
      <c r="C42" s="210" t="inlineStr">
        <is>
          <t>RCA-EVAL-QUALITY-001</t>
        </is>
      </c>
      <c r="D42" s="210" t="inlineStr">
        <is>
          <t>Primary RCA definition</t>
        </is>
      </c>
      <c r="E42" s="210" t="inlineStr">
        <is>
          <t>Keep status PENDING until read-only repo trace + implementation proof.</t>
        </is>
      </c>
      <c r="F42" s="126" t="n"/>
      <c r="G42" s="126" t="n"/>
      <c r="H42" s="126" t="n"/>
      <c r="I42" s="126" t="n"/>
      <c r="J42" s="126" t="n"/>
      <c r="K42" s="126" t="n"/>
    </row>
    <row r="43">
      <c r="A43" s="210" t="inlineStr">
        <is>
          <t>RCA-EVAL-QUALITY-001</t>
        </is>
      </c>
      <c r="B43" s="210" t="inlineStr">
        <is>
          <t>EXECUTION_BLOCK</t>
        </is>
      </c>
      <c r="C43" s="210" t="inlineStr">
        <is>
          <t>Quality acceptance RCA batch</t>
        </is>
      </c>
      <c r="D43" s="210" t="inlineStr">
        <is>
          <t>Execution dependency</t>
        </is>
      </c>
      <c r="E43" s="210" t="inlineStr">
        <is>
          <t>Runs after Pass1 model/budget strategy and repo trace.</t>
        </is>
      </c>
      <c r="F43" s="126" t="n"/>
      <c r="G43" s="126" t="n"/>
      <c r="H43" s="126" t="n"/>
      <c r="I43" s="126" t="n"/>
      <c r="J43" s="126" t="n"/>
      <c r="K43" s="126" t="n"/>
    </row>
    <row r="44">
      <c r="A44" s="210" t="inlineStr">
        <is>
          <t>RCA-EVAL-QUALITY-001</t>
        </is>
      </c>
      <c r="B44" s="210" t="inlineStr">
        <is>
          <t>CANON_CODE_MAP</t>
        </is>
      </c>
      <c r="C44" s="210" t="inlineStr">
        <is>
          <t>Quality acceptance invariants</t>
        </is>
      </c>
      <c r="D44" s="210" t="inlineStr">
        <is>
          <t>Runtime canon impact</t>
        </is>
      </c>
      <c r="E44" s="210" t="inlineStr">
        <is>
          <t>Must become hard gate/sanitizer before U3 unlock.</t>
        </is>
      </c>
      <c r="F44" s="126" t="n"/>
      <c r="G44" s="126" t="n"/>
      <c r="H44" s="126" t="n"/>
      <c r="I44" s="126" t="n"/>
      <c r="J44" s="126" t="n"/>
      <c r="K44" s="126" t="n"/>
    </row>
    <row r="45">
      <c r="A45" s="210" t="inlineStr">
        <is>
          <t>RCA-EVAL-QUALITY-001</t>
        </is>
      </c>
      <c r="B45" s="210" t="inlineStr">
        <is>
          <t>VERIFICATION_ARTIFACTS</t>
        </is>
      </c>
      <c r="C45" s="210" t="inlineStr">
        <is>
          <t>PV115-QUALITY-FAILURE</t>
        </is>
      </c>
      <c r="D45" s="210" t="inlineStr">
        <is>
          <t>Evidence artifact</t>
        </is>
      </c>
      <c r="E45" s="210" t="inlineStr">
        <is>
          <t>Use PV115 failure shape as regression fixture.</t>
        </is>
      </c>
      <c r="F45" s="126" t="n"/>
      <c r="G45" s="126" t="n"/>
      <c r="H45" s="126" t="n"/>
      <c r="I45" s="126" t="n"/>
      <c r="J45" s="126" t="n"/>
      <c r="K45" s="126" t="n"/>
    </row>
    <row r="46">
      <c r="A46" s="210" t="inlineStr">
        <is>
          <t>RCA-EVAL-QUALITY-002</t>
        </is>
      </c>
      <c r="B46" s="210" t="inlineStr">
        <is>
          <t>ROOT_CAUSE_ANALYSIS</t>
        </is>
      </c>
      <c r="C46" s="210" t="inlineStr">
        <is>
          <t>RCA-EVAL-QUALITY-002</t>
        </is>
      </c>
      <c r="D46" s="210" t="inlineStr">
        <is>
          <t>Primary RCA definition</t>
        </is>
      </c>
      <c r="E46" s="210" t="inlineStr">
        <is>
          <t>Keep status PENDING until read-only repo trace + implementation proof.</t>
        </is>
      </c>
      <c r="F46" s="126" t="n"/>
      <c r="G46" s="126" t="n"/>
      <c r="H46" s="126" t="n"/>
      <c r="I46" s="126" t="n"/>
      <c r="J46" s="126" t="n"/>
      <c r="K46" s="126" t="n"/>
    </row>
    <row r="47">
      <c r="A47" s="210" t="inlineStr">
        <is>
          <t>RCA-EVAL-QUALITY-002</t>
        </is>
      </c>
      <c r="B47" s="210" t="inlineStr">
        <is>
          <t>EXECUTION_BLOCK</t>
        </is>
      </c>
      <c r="C47" s="210" t="inlineStr">
        <is>
          <t>Quality acceptance RCA batch</t>
        </is>
      </c>
      <c r="D47" s="210" t="inlineStr">
        <is>
          <t>Execution dependency</t>
        </is>
      </c>
      <c r="E47" s="210" t="inlineStr">
        <is>
          <t>Runs after Pass1 model/budget strategy and repo trace.</t>
        </is>
      </c>
      <c r="F47" s="126" t="n"/>
      <c r="G47" s="126" t="n"/>
      <c r="H47" s="126" t="n"/>
      <c r="I47" s="126" t="n"/>
      <c r="J47" s="126" t="n"/>
      <c r="K47" s="126" t="n"/>
    </row>
    <row r="48">
      <c r="A48" s="210" t="inlineStr">
        <is>
          <t>RCA-EVAL-QUALITY-002</t>
        </is>
      </c>
      <c r="B48" s="210" t="inlineStr">
        <is>
          <t>CANON_CODE_MAP</t>
        </is>
      </c>
      <c r="C48" s="210" t="inlineStr">
        <is>
          <t>Quality acceptance invariants</t>
        </is>
      </c>
      <c r="D48" s="210" t="inlineStr">
        <is>
          <t>Runtime canon impact</t>
        </is>
      </c>
      <c r="E48" s="210" t="inlineStr">
        <is>
          <t>Must become hard gate/sanitizer before U3 unlock.</t>
        </is>
      </c>
      <c r="F48" s="126" t="n"/>
      <c r="G48" s="126" t="n"/>
      <c r="H48" s="126" t="n"/>
      <c r="I48" s="126" t="n"/>
      <c r="J48" s="126" t="n"/>
      <c r="K48" s="126" t="n"/>
    </row>
    <row r="49">
      <c r="A49" s="210" t="inlineStr">
        <is>
          <t>RCA-EVAL-QUALITY-002</t>
        </is>
      </c>
      <c r="B49" s="210" t="inlineStr">
        <is>
          <t>VERIFICATION_ARTIFACTS</t>
        </is>
      </c>
      <c r="C49" s="210" t="inlineStr">
        <is>
          <t>PV115-QUALITY-FAILURE</t>
        </is>
      </c>
      <c r="D49" s="210" t="inlineStr">
        <is>
          <t>Evidence artifact</t>
        </is>
      </c>
      <c r="E49" s="210" t="inlineStr">
        <is>
          <t>Use PV115 failure shape as regression fixture.</t>
        </is>
      </c>
      <c r="F49" s="126" t="n"/>
      <c r="G49" s="126" t="n"/>
      <c r="H49" s="126" t="n"/>
      <c r="I49" s="126" t="n"/>
      <c r="J49" s="126" t="n"/>
      <c r="K49" s="126" t="n"/>
    </row>
    <row r="50">
      <c r="A50" s="210" t="inlineStr">
        <is>
          <t>RCA-EVAL-QUALITY-003</t>
        </is>
      </c>
      <c r="B50" s="210" t="inlineStr">
        <is>
          <t>ROOT_CAUSE_ANALYSIS</t>
        </is>
      </c>
      <c r="C50" s="210" t="inlineStr">
        <is>
          <t>RCA-EVAL-QUALITY-003</t>
        </is>
      </c>
      <c r="D50" s="210" t="inlineStr">
        <is>
          <t>Primary RCA definition</t>
        </is>
      </c>
      <c r="E50" s="210" t="inlineStr">
        <is>
          <t>Keep status PENDING until read-only repo trace + implementation proof.</t>
        </is>
      </c>
      <c r="F50" s="126" t="n"/>
      <c r="G50" s="126" t="n"/>
      <c r="H50" s="126" t="n"/>
      <c r="I50" s="126" t="n"/>
      <c r="J50" s="126" t="n"/>
      <c r="K50" s="126" t="n"/>
    </row>
    <row r="51">
      <c r="A51" s="210" t="inlineStr">
        <is>
          <t>RCA-EVAL-QUALITY-003</t>
        </is>
      </c>
      <c r="B51" s="210" t="inlineStr">
        <is>
          <t>EXECUTION_BLOCK</t>
        </is>
      </c>
      <c r="C51" s="210" t="inlineStr">
        <is>
          <t>Quality acceptance RCA batch</t>
        </is>
      </c>
      <c r="D51" s="210" t="inlineStr">
        <is>
          <t>Execution dependency</t>
        </is>
      </c>
      <c r="E51" s="210" t="inlineStr">
        <is>
          <t>Runs after Pass1 model/budget strategy and repo trace.</t>
        </is>
      </c>
      <c r="F51" s="126" t="n"/>
      <c r="G51" s="126" t="n"/>
      <c r="H51" s="126" t="n"/>
      <c r="I51" s="126" t="n"/>
      <c r="J51" s="126" t="n"/>
      <c r="K51" s="126" t="n"/>
    </row>
    <row r="52">
      <c r="A52" s="210" t="inlineStr">
        <is>
          <t>RCA-EVAL-QUALITY-003</t>
        </is>
      </c>
      <c r="B52" s="210" t="inlineStr">
        <is>
          <t>CANON_CODE_MAP</t>
        </is>
      </c>
      <c r="C52" s="210" t="inlineStr">
        <is>
          <t>Quality acceptance invariants</t>
        </is>
      </c>
      <c r="D52" s="210" t="inlineStr">
        <is>
          <t>Runtime canon impact</t>
        </is>
      </c>
      <c r="E52" s="210" t="inlineStr">
        <is>
          <t>Must become hard gate/sanitizer before U3 unlock.</t>
        </is>
      </c>
      <c r="F52" s="126" t="n"/>
      <c r="G52" s="126" t="n"/>
      <c r="H52" s="126" t="n"/>
      <c r="I52" s="126" t="n"/>
      <c r="J52" s="126" t="n"/>
      <c r="K52" s="126" t="n"/>
    </row>
    <row r="53">
      <c r="A53" s="210" t="inlineStr">
        <is>
          <t>RCA-EVAL-QUALITY-003</t>
        </is>
      </c>
      <c r="B53" s="210" t="inlineStr">
        <is>
          <t>VERIFICATION_ARTIFACTS</t>
        </is>
      </c>
      <c r="C53" s="210" t="inlineStr">
        <is>
          <t>PV115-QUALITY-FAILURE</t>
        </is>
      </c>
      <c r="D53" s="210" t="inlineStr">
        <is>
          <t>Evidence artifact</t>
        </is>
      </c>
      <c r="E53" s="210" t="inlineStr">
        <is>
          <t>Use PV115 failure shape as regression fixture.</t>
        </is>
      </c>
      <c r="F53" s="126" t="n"/>
      <c r="G53" s="126" t="n"/>
      <c r="H53" s="126" t="n"/>
      <c r="I53" s="126" t="n"/>
      <c r="J53" s="126" t="n"/>
      <c r="K53" s="126" t="n"/>
    </row>
    <row r="54">
      <c r="A54" s="210" t="inlineStr">
        <is>
          <t>RCA-EVAL-QUALITY-004</t>
        </is>
      </c>
      <c r="B54" s="210" t="inlineStr">
        <is>
          <t>ROOT_CAUSE_ANALYSIS</t>
        </is>
      </c>
      <c r="C54" s="210" t="inlineStr">
        <is>
          <t>RCA-EVAL-QUALITY-004</t>
        </is>
      </c>
      <c r="D54" s="210" t="inlineStr">
        <is>
          <t>Primary RCA definition</t>
        </is>
      </c>
      <c r="E54" s="210" t="inlineStr">
        <is>
          <t>Keep status PENDING until read-only repo trace + implementation proof.</t>
        </is>
      </c>
      <c r="F54" s="126" t="n"/>
      <c r="G54" s="126" t="n"/>
      <c r="H54" s="126" t="n"/>
      <c r="I54" s="126" t="n"/>
      <c r="J54" s="126" t="n"/>
      <c r="K54" s="126" t="n"/>
    </row>
    <row r="55">
      <c r="A55" s="210" t="inlineStr">
        <is>
          <t>RCA-EVAL-QUALITY-004</t>
        </is>
      </c>
      <c r="B55" s="210" t="inlineStr">
        <is>
          <t>EXECUTION_BLOCK</t>
        </is>
      </c>
      <c r="C55" s="210" t="inlineStr">
        <is>
          <t>Quality acceptance RCA batch</t>
        </is>
      </c>
      <c r="D55" s="210" t="inlineStr">
        <is>
          <t>Execution dependency</t>
        </is>
      </c>
      <c r="E55" s="210" t="inlineStr">
        <is>
          <t>Runs after Pass1 model/budget strategy and repo trace.</t>
        </is>
      </c>
      <c r="F55" s="126" t="n"/>
      <c r="G55" s="126" t="n"/>
      <c r="H55" s="126" t="n"/>
      <c r="I55" s="126" t="n"/>
      <c r="J55" s="126" t="n"/>
      <c r="K55" s="126" t="n"/>
    </row>
    <row r="56">
      <c r="A56" s="210" t="inlineStr">
        <is>
          <t>RCA-EVAL-QUALITY-004</t>
        </is>
      </c>
      <c r="B56" s="210" t="inlineStr">
        <is>
          <t>CANON_CODE_MAP</t>
        </is>
      </c>
      <c r="C56" s="210" t="inlineStr">
        <is>
          <t>Quality acceptance invariants</t>
        </is>
      </c>
      <c r="D56" s="210" t="inlineStr">
        <is>
          <t>Runtime canon impact</t>
        </is>
      </c>
      <c r="E56" s="210" t="inlineStr">
        <is>
          <t>Must become hard gate/sanitizer before U3 unlock.</t>
        </is>
      </c>
      <c r="F56" s="126" t="n"/>
      <c r="G56" s="126" t="n"/>
      <c r="H56" s="126" t="n"/>
      <c r="I56" s="126" t="n"/>
      <c r="J56" s="126" t="n"/>
      <c r="K56" s="126" t="n"/>
    </row>
    <row r="57">
      <c r="A57" s="210" t="inlineStr">
        <is>
          <t>RCA-EVAL-QUALITY-004</t>
        </is>
      </c>
      <c r="B57" s="210" t="inlineStr">
        <is>
          <t>VERIFICATION_ARTIFACTS</t>
        </is>
      </c>
      <c r="C57" s="210" t="inlineStr">
        <is>
          <t>PV115-QUALITY-FAILURE</t>
        </is>
      </c>
      <c r="D57" s="210" t="inlineStr">
        <is>
          <t>Evidence artifact</t>
        </is>
      </c>
      <c r="E57" s="210" t="inlineStr">
        <is>
          <t>Use PV115 failure shape as regression fixture.</t>
        </is>
      </c>
      <c r="F57" s="126" t="n"/>
      <c r="G57" s="126" t="n"/>
      <c r="H57" s="126" t="n"/>
      <c r="I57" s="126" t="n"/>
      <c r="J57" s="126" t="n"/>
      <c r="K57" s="126" t="n"/>
    </row>
    <row r="58">
      <c r="A58" s="210" t="inlineStr">
        <is>
          <t>RCA-EVAL-QUALITY-005</t>
        </is>
      </c>
      <c r="B58" s="210" t="inlineStr">
        <is>
          <t>ROOT_CAUSE_ANALYSIS</t>
        </is>
      </c>
      <c r="C58" s="210" t="inlineStr">
        <is>
          <t>RCA-EVAL-QUALITY-005</t>
        </is>
      </c>
      <c r="D58" s="210" t="inlineStr">
        <is>
          <t>Primary RCA definition</t>
        </is>
      </c>
      <c r="E58" s="210" t="inlineStr">
        <is>
          <t>Keep status PENDING until read-only repo trace + implementation proof.</t>
        </is>
      </c>
      <c r="F58" s="126" t="n"/>
      <c r="G58" s="126" t="n"/>
      <c r="H58" s="126" t="n"/>
      <c r="I58" s="126" t="n"/>
      <c r="J58" s="126" t="n"/>
      <c r="K58" s="126" t="n"/>
    </row>
    <row r="59">
      <c r="A59" s="210" t="inlineStr">
        <is>
          <t>RCA-EVAL-QUALITY-005</t>
        </is>
      </c>
      <c r="B59" s="210" t="inlineStr">
        <is>
          <t>EXECUTION_BLOCK</t>
        </is>
      </c>
      <c r="C59" s="210" t="inlineStr">
        <is>
          <t>Quality acceptance RCA batch</t>
        </is>
      </c>
      <c r="D59" s="210" t="inlineStr">
        <is>
          <t>Execution dependency</t>
        </is>
      </c>
      <c r="E59" s="210" t="inlineStr">
        <is>
          <t>Runs after Pass1 model/budget strategy and repo trace.</t>
        </is>
      </c>
      <c r="F59" s="126" t="n"/>
      <c r="G59" s="126" t="n"/>
      <c r="H59" s="126" t="n"/>
      <c r="I59" s="126" t="n"/>
      <c r="J59" s="126" t="n"/>
      <c r="K59" s="126" t="n"/>
    </row>
    <row r="60">
      <c r="A60" s="210" t="inlineStr">
        <is>
          <t>RCA-EVAL-QUALITY-005</t>
        </is>
      </c>
      <c r="B60" s="210" t="inlineStr">
        <is>
          <t>CANON_CODE_MAP</t>
        </is>
      </c>
      <c r="C60" s="210" t="inlineStr">
        <is>
          <t>Quality acceptance invariants</t>
        </is>
      </c>
      <c r="D60" s="210" t="inlineStr">
        <is>
          <t>Runtime canon impact</t>
        </is>
      </c>
      <c r="E60" s="210" t="inlineStr">
        <is>
          <t>Must become hard gate/sanitizer before U3 unlock.</t>
        </is>
      </c>
      <c r="F60" s="126" t="n"/>
      <c r="G60" s="126" t="n"/>
      <c r="H60" s="126" t="n"/>
      <c r="I60" s="126" t="n"/>
      <c r="J60" s="126" t="n"/>
      <c r="K60" s="126" t="n"/>
    </row>
    <row r="61">
      <c r="A61" s="210" t="inlineStr">
        <is>
          <t>RCA-EVAL-QUALITY-005</t>
        </is>
      </c>
      <c r="B61" s="210" t="inlineStr">
        <is>
          <t>VERIFICATION_ARTIFACTS</t>
        </is>
      </c>
      <c r="C61" s="210" t="inlineStr">
        <is>
          <t>PV115-QUALITY-FAILURE</t>
        </is>
      </c>
      <c r="D61" s="210" t="inlineStr">
        <is>
          <t>Evidence artifact</t>
        </is>
      </c>
      <c r="E61" s="210" t="inlineStr">
        <is>
          <t>Use PV115 failure shape as regression fixture.</t>
        </is>
      </c>
      <c r="F61" s="126" t="n"/>
      <c r="G61" s="126" t="n"/>
      <c r="H61" s="126" t="n"/>
      <c r="I61" s="126" t="n"/>
      <c r="J61" s="126" t="n"/>
      <c r="K61" s="126" t="n"/>
    </row>
    <row r="62">
      <c r="A62" s="210" t="inlineStr">
        <is>
          <t>RCA-PASS1-TOKEN-001</t>
        </is>
      </c>
      <c r="B62" s="210" t="inlineStr">
        <is>
          <t>CURRENT_STATE</t>
        </is>
      </c>
      <c r="C62" s="210" t="inlineStr">
        <is>
          <t>PASS1_O3_BUDGET_BLOCKER</t>
        </is>
      </c>
      <c r="D62" s="210" t="inlineStr">
        <is>
          <t>Primary blocker</t>
        </is>
      </c>
      <c r="E62" s="210" t="inlineStr">
        <is>
          <t>Resolve before live U2/quality validation resumes.</t>
        </is>
      </c>
      <c r="F62" s="126" t="n"/>
      <c r="G62" s="126" t="n"/>
      <c r="H62" s="126" t="n"/>
      <c r="I62" s="126" t="n"/>
      <c r="J62" s="126" t="n"/>
      <c r="K62" s="126" t="n"/>
    </row>
    <row r="63">
      <c r="A63" s="210" t="inlineStr">
        <is>
          <t>RCA-ENV-CONTRACT-TYPING-001</t>
        </is>
      </c>
      <c r="B63" s="210" t="inlineStr">
        <is>
          <t>EXECUTION_BLOCK</t>
        </is>
      </c>
      <c r="C63" s="210" t="inlineStr">
        <is>
          <t>Env contract typing fix</t>
        </is>
      </c>
      <c r="D63" s="210" t="inlineStr">
        <is>
          <t>Parallel minimal PR</t>
        </is>
      </c>
      <c r="E63" s="210" t="inlineStr">
        <is>
          <t>Keep separate from runtime U2/quality work.</t>
        </is>
      </c>
      <c r="F63" s="126" t="n"/>
      <c r="G63" s="126" t="n"/>
      <c r="H63" s="126" t="n"/>
      <c r="I63" s="126" t="n"/>
      <c r="J63" s="126" t="n"/>
      <c r="K63" s="126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  <col width="32" customWidth="1" style="213" min="9" max="9"/>
    <col width="18" customWidth="1" style="213" min="10" max="10"/>
    <col width="18" customWidth="1" style="213" min="11" max="11"/>
  </cols>
  <sheetData>
    <row r="1" ht="15" customHeight="1" s="213">
      <c r="A1" s="266" t="inlineStr">
        <is>
          <t>ARTIFACT_ID</t>
        </is>
      </c>
      <c r="B1" s="266" t="inlineStr">
        <is>
          <t>TYPE</t>
        </is>
      </c>
      <c r="C1" s="266" t="inlineStr">
        <is>
          <t>PURPOSE</t>
        </is>
      </c>
      <c r="D1" s="266" t="inlineStr">
        <is>
          <t>DEPENDS_ON_RCA</t>
        </is>
      </c>
      <c r="E1" s="266" t="inlineStr">
        <is>
          <t>STATUS</t>
        </is>
      </c>
      <c r="F1" s="266" t="inlineStr">
        <is>
          <t>RULE</t>
        </is>
      </c>
      <c r="G1" s="266" t="inlineStr">
        <is>
          <t>NOTE</t>
        </is>
      </c>
      <c r="H1" s="266" t="inlineStr">
        <is>
          <t>LAST_UPDATED</t>
        </is>
      </c>
      <c r="I1" s="266" t="inlineStr">
        <is>
          <t>PROMOTION_RULE</t>
        </is>
      </c>
      <c r="J1" s="266" t="n"/>
      <c r="K1" s="266" t="n"/>
    </row>
    <row r="2" ht="15" customHeight="1" s="213">
      <c r="A2" s="126" t="inlineStr">
        <is>
          <t>PV115-GOLDEN-FIXTURE</t>
        </is>
      </c>
      <c r="B2" s="126" t="inlineStr">
        <is>
          <t>REGRESSION / PROOF FIXTURE</t>
        </is>
      </c>
      <c r="C2" s="126" t="inlineStr">
        <is>
          <t>Validate U2 fidelity enforcement across real PV115 signals and ensure confidence cannot stay high when required signals are missed.</t>
        </is>
      </c>
      <c r="D2" s="126" t="inlineStr">
        <is>
          <t>RCA-U2-001; RCA-U2-002; RCA-U2-004; RCA-U2-005; RCA-U2-006</t>
        </is>
      </c>
      <c r="E2" s="126" t="inlineStr">
        <is>
          <t>NOT_READY</t>
        </is>
      </c>
      <c r="F2" s="126" t="inlineStr">
        <is>
          <t>Must pass before U2 is marked ENFORCED.</t>
        </is>
      </c>
      <c r="G2" s="126" t="inlineStr">
        <is>
          <t>Not an RCA — verification-only artifact.</t>
        </is>
      </c>
      <c r="H2" s="126" t="inlineStr">
        <is>
          <t>2026-04-27</t>
        </is>
      </c>
      <c r="I2" s="126" t="inlineStr">
        <is>
          <t>Must pass before U2_FIDELITY_ENFORCEMENT can be marked ENFORCED.</t>
        </is>
      </c>
      <c r="J2" s="126" t="n"/>
      <c r="K2" s="126" t="n"/>
    </row>
    <row r="3" ht="15" customHeight="1" s="213">
      <c r="A3" s="126" t="n"/>
      <c r="B3" s="126" t="n"/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</row>
    <row r="4" ht="15" customHeight="1" s="213">
      <c r="A4" s="126" t="inlineStr">
        <is>
          <t>ARTIFACT_ID</t>
        </is>
      </c>
      <c r="B4" s="126" t="inlineStr">
        <is>
          <t>EVIDENCE_SIGNALS</t>
        </is>
      </c>
      <c r="C4" s="126" t="inlineStr">
        <is>
          <t>FAILS_IF</t>
        </is>
      </c>
      <c r="D4" s="126" t="inlineStr">
        <is>
          <t>CODE_SURFACE</t>
        </is>
      </c>
      <c r="E4" s="126" t="inlineStr">
        <is>
          <t>SCRIPT_SURFACE</t>
        </is>
      </c>
      <c r="F4" s="126" t="inlineStr">
        <is>
          <t>CURRENT_BLOCKER</t>
        </is>
      </c>
      <c r="G4" s="126" t="inlineStr">
        <is>
          <t>NEXT_ACTION</t>
        </is>
      </c>
      <c r="H4" s="126" t="inlineStr">
        <is>
          <t>OWNER_NOTES</t>
        </is>
      </c>
      <c r="I4" s="126" t="inlineStr">
        <is>
          <t>PROMOTION_RULE</t>
        </is>
      </c>
      <c r="J4" s="126" t="n"/>
      <c r="K4" s="126" t="n"/>
    </row>
    <row r="5" ht="15" customHeight="1" s="213">
      <c r="A5" s="126" t="inlineStr">
        <is>
          <t>PV115-GOLDEN-FIXTURE</t>
        </is>
      </c>
      <c r="B5" s="126" t="inlineStr">
        <is>
          <t>dogs / Mexico parallel / meta-fiction / river force imagery / deliberate withholding</t>
        </is>
      </c>
      <c r="C5" s="126" t="inlineStr">
        <is>
          <t>Artifact misses signals while summary/confidence remains high-authority or anti-washing does not fire.</t>
        </is>
      </c>
      <c r="D5" s="126" t="inlineStr">
        <is>
          <t>qualityGate.ts; runPipeline.ts; runPass3Synthesis.ts; warningClassification.ts; evaluation-result-v2.ts</t>
        </is>
      </c>
      <c r="E5" s="126" t="inlineStr">
        <is>
          <t>scripts/e2e-golden-run.sh; scripts/check-e2e-summary.mjs; PV115 golden fixture test</t>
        </is>
      </c>
      <c r="F5" s="126" t="inlineStr">
        <is>
          <t>Waiting on U2 RCA closures.</t>
        </is>
      </c>
      <c r="G5" s="126" t="inlineStr">
        <is>
          <t>Implement fixture after U2 RCA gate surfaces exist.</t>
        </is>
      </c>
      <c r="H5" s="126" t="inlineStr">
        <is>
          <t>Fixture, not failure class.</t>
        </is>
      </c>
      <c r="I5" s="126" t="inlineStr">
        <is>
          <t>Required green before U2_FIDELITY_ENFORCEMENT moves to ENFORCED.</t>
        </is>
      </c>
      <c r="J5" s="126" t="n"/>
      <c r="K5" s="126" t="n"/>
    </row>
    <row r="6">
      <c r="A6" s="210" t="inlineStr">
        <is>
          <t>PV115-EVAL-NO5-QUALITY-FAILURE</t>
        </is>
      </c>
      <c r="B6" s="210" t="inlineStr">
        <is>
          <t>LIVE ARTIFACT / QUALITY FAILURE</t>
        </is>
      </c>
      <c r="C6" s="210" t="inlineStr">
        <is>
          <t>Proves structurally complete artifact can still contain generic recommendations, confidence mismatch and Pass3 compression drift.</t>
        </is>
      </c>
      <c r="D6" s="210" t="inlineStr">
        <is>
          <t>RCA-EVAL-QUALITY-001; RCA-EVAL-QUALITY-002; RCA-EVAL-QUALITY-003; RCA-EVAL-QUALITY-005</t>
        </is>
      </c>
      <c r="E6" s="210" t="inlineStr">
        <is>
          <t>OBSERVED / NOT ENFORCED</t>
        </is>
      </c>
      <c r="F6" s="210" t="inlineStr">
        <is>
          <t>Must become failing/downgraded fixture after gates exist.</t>
        </is>
      </c>
      <c r="G6" s="210" t="inlineStr">
        <is>
          <t>Job f64c3266-f969-449a-aff4-18bfefcda9a6; 2904 words; Pass3 compressed window; confidence 70%.</t>
        </is>
      </c>
      <c r="H6" s="210" t="inlineStr">
        <is>
          <t>2026-04-28</t>
        </is>
      </c>
      <c r="I6" s="210" t="inlineStr">
        <is>
          <t>Fails if generic advice remains user-visible without evidence chain.</t>
        </is>
      </c>
      <c r="J6" s="126" t="n"/>
      <c r="K6" s="126" t="n"/>
    </row>
    <row r="7">
      <c r="A7" s="210" t="inlineStr">
        <is>
          <t>PV115-5907-PASS1-O3-BUDGET-FAILURE</t>
        </is>
      </c>
      <c r="B7" s="210" t="inlineStr">
        <is>
          <t>LIVE RUNTIME FAILURE</t>
        </is>
      </c>
      <c r="C7" s="210" t="inlineStr">
        <is>
          <t>Proves Pass1 o3/max_output_tokens=1800 can consume budget in reasoning and emit empty content.</t>
        </is>
      </c>
      <c r="D7" s="210" t="inlineStr">
        <is>
          <t>RCA-PASS1-TOKEN-001</t>
        </is>
      </c>
      <c r="E7" s="210" t="inlineStr">
        <is>
          <t>OPEN / BLOCKING</t>
        </is>
      </c>
      <c r="F7" s="210" t="inlineStr">
        <is>
          <t>No further live evaluations until model/budget strategy selected.</t>
        </is>
      </c>
      <c r="G7" s="210" t="inlineStr">
        <is>
          <t>Job 6abcc20c-a4cf-4010-9718-f271de9e363e; no artifact persisted; gate fields null.</t>
        </is>
      </c>
      <c r="H7" s="210" t="inlineStr">
        <is>
          <t>2026-04-28</t>
        </is>
      </c>
      <c r="I7" s="210" t="inlineStr">
        <is>
          <t>Pass1 must produce content or fail with explicit strategy/classification.</t>
        </is>
      </c>
      <c r="J7" s="126" t="n"/>
      <c r="K7" s="126" t="n"/>
    </row>
    <row r="8">
      <c r="A8" s="210" t="inlineStr">
        <is>
          <t>JOB-3B5BC57A-TRACE-PENDING</t>
        </is>
      </c>
      <c r="B8" s="210" t="inlineStr">
        <is>
          <t>READ-ONLY TRACE TARGET</t>
        </is>
      </c>
      <c r="C8" s="210" t="inlineStr">
        <is>
          <t>Separate successful weak-artifact acceptance finding from Pass1 failure; classify Type-A design gap vs Type-B wiring failure.</t>
        </is>
      </c>
      <c r="D8" s="210" t="inlineStr">
        <is>
          <t>RCA-EVAL-QUALITY-001..005</t>
        </is>
      </c>
      <c r="E8" s="210" t="inlineStr">
        <is>
          <t>PENDING TRACE</t>
        </is>
      </c>
      <c r="F8" s="210" t="inlineStr">
        <is>
          <t>Trace qualityGate, Pass4 authority, finalizer, persisted Pass2/Pass3/gate results.</t>
        </is>
      </c>
      <c r="G8" s="210" t="inlineStr">
        <is>
          <t>Do not conflate with PV115/5907 Pass1 failure.</t>
        </is>
      </c>
      <c r="H8" s="210" t="inlineStr">
        <is>
          <t>2026-04-28</t>
        </is>
      </c>
      <c r="I8" s="210" t="inlineStr">
        <is>
          <t>Trace must support exact implementation placement.</t>
        </is>
      </c>
      <c r="J8" s="126" t="n"/>
      <c r="K8" s="126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  <col width="32" customWidth="1" style="213" min="4" max="4"/>
  </cols>
  <sheetData>
    <row r="1">
      <c r="A1" s="292" t="inlineStr">
        <is>
          <t>U-Layer System Doctrine</t>
        </is>
      </c>
      <c r="B1" s="266" t="n"/>
      <c r="C1" s="266" t="n"/>
      <c r="D1" s="266" t="n"/>
    </row>
    <row r="2">
      <c r="A2" s="293" t="n"/>
      <c r="B2" s="293" t="n"/>
      <c r="C2" s="293" t="n"/>
      <c r="D2" s="293" t="n"/>
    </row>
    <row r="3">
      <c r="A3" s="294" t="inlineStr">
        <is>
          <t>Layer / Law</t>
        </is>
      </c>
      <c r="B3" s="294" t="inlineStr">
        <is>
          <t>Name</t>
        </is>
      </c>
      <c r="C3" s="294" t="inlineStr">
        <is>
          <t>Definition</t>
        </is>
      </c>
      <c r="D3" s="294" t="inlineStr">
        <is>
          <t>Current Status</t>
        </is>
      </c>
    </row>
    <row r="4">
      <c r="A4" s="258" t="inlineStr">
        <is>
          <t>U1</t>
        </is>
      </c>
      <c r="B4" s="258" t="inlineStr">
        <is>
          <t>Structural Enforcement Layer</t>
        </is>
      </c>
      <c r="C4" s="258" t="inlineStr">
        <is>
          <t>Governs persistence boundary, lifecycle invariants, artifact truth, and no-bypass execution.</t>
        </is>
      </c>
      <c r="D4" s="258" t="inlineStr">
        <is>
          <t>ENFORCED</t>
        </is>
      </c>
    </row>
    <row r="5">
      <c r="A5" s="258" t="inlineStr">
        <is>
          <t>U2</t>
        </is>
      </c>
      <c r="B5" s="258" t="inlineStr">
        <is>
          <t>Truth / Fidelity Enforcement Layer</t>
        </is>
      </c>
      <c r="C5" s="258" t="inlineStr">
        <is>
          <t>Governs evidence, confidence, score authority, summaries, propagation, anchors, and anti-washing.</t>
        </is>
      </c>
      <c r="D5" s="258" t="inlineStr">
        <is>
          <t>PARTIAL</t>
        </is>
      </c>
    </row>
    <row r="6">
      <c r="A6" s="258" t="inlineStr">
        <is>
          <t>U3</t>
        </is>
      </c>
      <c r="B6" s="258" t="inlineStr">
        <is>
          <t>Authority / Coherence Enforcement Layer</t>
        </is>
      </c>
      <c r="C6" s="258" t="inlineStr">
        <is>
          <t>Governs contradiction/coherence/meaning authority and UI authority presentation after U2 closes.</t>
        </is>
      </c>
      <c r="D6" s="258" t="inlineStr">
        <is>
          <t>BLOCKED</t>
        </is>
      </c>
    </row>
    <row r="7">
      <c r="A7" s="258" t="inlineStr">
        <is>
          <t>Execution Law</t>
        </is>
      </c>
      <c r="B7" s="258" t="inlineStr">
        <is>
          <t>U1 → U2 → U3</t>
        </is>
      </c>
      <c r="C7" s="258" t="inlineStr">
        <is>
          <t>No downstream layer may claim truth before upstream proof is complete.</t>
        </is>
      </c>
      <c r="D7" s="258" t="inlineStr">
        <is>
          <t>ACTIVE</t>
        </is>
      </c>
    </row>
    <row r="8">
      <c r="A8" s="258" t="inlineStr">
        <is>
          <t>Proof Law</t>
        </is>
      </c>
      <c r="B8" s="258" t="inlineStr">
        <is>
          <t>Live/observable evidence required</t>
        </is>
      </c>
      <c r="C8" s="258" t="inlineStr">
        <is>
          <t>Tests alone do not satisfy closure where runtime/artifact proof is required.</t>
        </is>
      </c>
      <c r="D8" s="258" t="inlineStr">
        <is>
          <t>ACTIVE</t>
        </is>
      </c>
    </row>
    <row r="9">
      <c r="A9" s="258" t="inlineStr">
        <is>
          <t>Visibility Law</t>
        </is>
      </c>
      <c r="B9" s="258" t="inlineStr">
        <is>
          <t>No hidden gates</t>
        </is>
      </c>
      <c r="C9" s="258" t="inlineStr">
        <is>
          <t>Every enforcement decision must be traceable through artifact, job progress, and RCA row.</t>
        </is>
      </c>
      <c r="D9" s="258" t="inlineStr">
        <is>
          <t>ACTIVE</t>
        </is>
      </c>
    </row>
    <row r="10">
      <c r="A10" s="258" t="inlineStr">
        <is>
          <t>No Drift Law</t>
        </is>
      </c>
      <c r="B10" s="258" t="inlineStr">
        <is>
          <t>Workbook only</t>
        </is>
      </c>
      <c r="C10" s="258" t="inlineStr">
        <is>
          <t>Markdown/CSV are not parallel source-of-truth documents.</t>
        </is>
      </c>
      <c r="D10" s="258" t="inlineStr">
        <is>
          <t>ACTIVE</t>
        </is>
      </c>
    </row>
    <row r="11">
      <c r="A11" s="271" t="inlineStr">
        <is>
          <t>2026-04-28 Reconciliation Addendum</t>
        </is>
      </c>
      <c r="B11" s="271" t="n"/>
      <c r="C11" s="271" t="n"/>
      <c r="D11" s="271" t="n"/>
    </row>
    <row r="12">
      <c r="A12" s="271" t="inlineStr">
        <is>
          <t>Rule</t>
        </is>
      </c>
      <c r="B12" s="271" t="inlineStr">
        <is>
          <t>Pass1 reachability precedes live U2/quality validation when Pass1 fails before artifacts/gates exist.</t>
        </is>
      </c>
      <c r="C12" s="126" t="n"/>
      <c r="D12" s="126" t="n"/>
    </row>
    <row r="13">
      <c r="A13" s="271" t="inlineStr">
        <is>
          <t>Rule</t>
        </is>
      </c>
      <c r="B13" s="271" t="inlineStr">
        <is>
          <t>Semantic acceptance is separate from structural completeness: valid report must be evidence-bound, clean, and authority-calibrated.</t>
        </is>
      </c>
      <c r="C13" s="126" t="n"/>
      <c r="D13" s="126" t="n"/>
    </row>
    <row r="14">
      <c r="A14" s="271" t="inlineStr">
        <is>
          <t>Publish States</t>
        </is>
      </c>
      <c r="B14" s="271" t="inlineStr">
        <is>
          <t>VALID = evidence-bound; ADVISORY = limited/evidence-constrained/no tactical prescriptions; INVALID = generic drift/leakage/traceability failure.</t>
        </is>
      </c>
      <c r="C14" s="126" t="n"/>
      <c r="D14" s="126" t="n"/>
    </row>
    <row r="15">
      <c r="A15" s="271" t="inlineStr">
        <is>
          <t>Trace Rule</t>
        </is>
      </c>
      <c r="B15" s="271" t="inlineStr">
        <is>
          <t>Do not attribute quality failure to Pass4 or missing gates until repo/job trace proves design gap vs wiring failure.</t>
        </is>
      </c>
      <c r="C15" s="126" t="n"/>
      <c r="D15" s="126" t="n"/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</cols>
  <sheetData>
    <row r="1">
      <c r="A1" s="292" t="inlineStr">
        <is>
          <t>Change Log</t>
        </is>
      </c>
      <c r="B1" s="266" t="n"/>
      <c r="C1" s="266" t="n"/>
      <c r="D1" s="266" t="n"/>
      <c r="E1" s="266" t="n"/>
    </row>
    <row r="2">
      <c r="A2" s="293" t="n"/>
      <c r="B2" s="293" t="n"/>
      <c r="C2" s="293" t="n"/>
      <c r="D2" s="293" t="n"/>
      <c r="E2" s="293" t="n"/>
    </row>
    <row r="3">
      <c r="A3" s="294" t="inlineStr">
        <is>
          <t>Date</t>
        </is>
      </c>
      <c r="B3" s="294" t="inlineStr">
        <is>
          <t>Change</t>
        </is>
      </c>
      <c r="C3" s="294" t="inlineStr">
        <is>
          <t>Description</t>
        </is>
      </c>
      <c r="D3" s="294" t="inlineStr">
        <is>
          <t>Status</t>
        </is>
      </c>
      <c r="E3" s="294" t="inlineStr">
        <is>
          <t>Source</t>
        </is>
      </c>
    </row>
    <row r="4" ht="26.4" customHeight="1" s="213">
      <c r="A4" s="258" t="inlineStr">
        <is>
          <t>2026-04-28</t>
        </is>
      </c>
      <c r="B4" s="258" t="inlineStr">
        <is>
          <t>Workbook consolidation</t>
        </is>
      </c>
      <c r="C4" s="258" t="inlineStr">
        <is>
          <t>Converted roadmap governance to one authority workbook model; CSVs become worksheets; Markdown archived/pointer only.</t>
        </is>
      </c>
      <c r="D4" s="258" t="inlineStr">
        <is>
          <t>READY_FOR_REPO</t>
        </is>
      </c>
      <c r="E4" s="258" t="inlineStr">
        <is>
          <t>Current user directive</t>
        </is>
      </c>
    </row>
    <row r="5" ht="26.4" customHeight="1" s="213">
      <c r="A5" s="258" t="inlineStr">
        <is>
          <t>2026-04-28</t>
        </is>
      </c>
      <c r="B5" s="258" t="inlineStr">
        <is>
          <t>RCA-EVAL-QUALITY-001 added</t>
        </is>
      </c>
      <c r="C5" s="258" t="inlineStr">
        <is>
          <t>Added pending quality-enforcement RCA based on PV115 completed run showing generic recommendations and authority mismatch.</t>
        </is>
      </c>
      <c r="D5" s="258" t="inlineStr">
        <is>
          <t>PENDING</t>
        </is>
      </c>
      <c r="E5" s="258" t="inlineStr">
        <is>
          <t>PV115 run evidence</t>
        </is>
      </c>
    </row>
    <row r="6" ht="26.4" customHeight="1" s="213">
      <c r="A6" s="258" t="inlineStr">
        <is>
          <t>2026-04-28</t>
        </is>
      </c>
      <c r="B6" s="258" t="inlineStr">
        <is>
          <t>U2 state corrected</t>
        </is>
      </c>
      <c r="C6" s="258" t="inlineStr">
        <is>
          <t>U2 marked PARTIAL, not complete; U3 blocked until U2 enforced.</t>
        </is>
      </c>
      <c r="D6" s="258" t="inlineStr">
        <is>
          <t>PARTIAL</t>
        </is>
      </c>
      <c r="E6" s="258" t="inlineStr">
        <is>
          <t>Repo ROADMAP baseline + U-layer doctrine</t>
        </is>
      </c>
    </row>
    <row r="7">
      <c r="A7" s="258" t="inlineStr">
        <is>
          <t>2026-04-28</t>
        </is>
      </c>
      <c r="B7" s="258" t="inlineStr">
        <is>
          <t>Env typing fix captured</t>
        </is>
      </c>
      <c r="C7" s="258" t="inlineStr">
        <is>
          <t>Strict ProcessEnv fixture failure captured as narrow test-only PR item.</t>
        </is>
      </c>
      <c r="D7" s="258" t="inlineStr">
        <is>
          <t>READY_FOR_PR</t>
        </is>
      </c>
      <c r="E7" s="258" t="inlineStr">
        <is>
          <t>User prompt</t>
        </is>
      </c>
    </row>
    <row r="8">
      <c r="A8" s="258" t="inlineStr">
        <is>
          <t>2026-04-28</t>
        </is>
      </c>
      <c r="B8" s="258" t="inlineStr">
        <is>
          <t>Lifecycle closure represented</t>
        </is>
      </c>
      <c r="C8" s="258" t="inlineStr">
        <is>
          <t>RCA-JOB-LIFECYCLE-001 represented as complete/enforced with DB/test/processor guard package.</t>
        </is>
      </c>
      <c r="D8" s="258" t="inlineStr">
        <is>
          <t>COMPLETE</t>
        </is>
      </c>
      <c r="E8" s="258" t="inlineStr">
        <is>
          <t>Uploaded PR package</t>
        </is>
      </c>
    </row>
    <row r="9">
      <c r="A9" s="295" t="inlineStr">
        <is>
          <t>2026-04-28</t>
        </is>
      </c>
      <c r="B9" s="295" t="inlineStr">
        <is>
          <t>ONE_MASTER_RECONCILED</t>
        </is>
      </c>
      <c r="C9" s="295" t="inlineStr">
        <is>
          <t>Full workbook reconciliation against recent chat attachments; added Pass1 blocker, quality RCAs, env typing, acceptance policy, execution order, verification artifacts and audit.</t>
        </is>
      </c>
      <c r="D9" s="295" t="inlineStr">
        <is>
          <t>RCA-PASS1-TOKEN-001; RCA-ENV-CONTRACT-TYPING-001; RCA-EVAL-QUALITY-001..005; RCA-U2-001..006</t>
        </is>
      </c>
      <c r="E9" s="295" t="inlineStr">
        <is>
          <t>Source evidence from uploaded PV115 quality, U-layer doctrine, Pass1 o3 failure and merge audit instructions.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  <col width="32" customWidth="1" style="213" min="4" max="4"/>
  </cols>
  <sheetData>
    <row r="1" ht="21" customHeight="1" s="213">
      <c r="A1" s="292" t="inlineStr">
        <is>
          <t>RevisionGrade Roadmap Summary</t>
        </is>
      </c>
      <c r="B1" s="266" t="n"/>
      <c r="C1" s="266" t="n"/>
      <c r="D1" s="266" t="n"/>
    </row>
    <row r="2">
      <c r="A2" s="293" t="n"/>
      <c r="B2" s="293" t="n"/>
      <c r="C2" s="293" t="n"/>
      <c r="D2" s="293" t="n"/>
    </row>
    <row r="3">
      <c r="A3" s="296" t="inlineStr">
        <is>
          <t>Metric</t>
        </is>
      </c>
      <c r="B3" s="296" t="inlineStr">
        <is>
          <t>Value</t>
        </is>
      </c>
      <c r="C3" s="293" t="n"/>
      <c r="D3" s="293" t="n"/>
    </row>
    <row r="4">
      <c r="A4" s="297" t="inlineStr">
        <is>
          <t>Total Ledger Rows</t>
        </is>
      </c>
      <c r="B4" s="297">
        <f>COUNTA('Complete-Partially-Pending'!A4:A200)</f>
        <v/>
      </c>
      <c r="C4" s="293" t="n"/>
      <c r="D4" s="293" t="n"/>
    </row>
    <row r="5">
      <c r="A5" s="297" t="inlineStr">
        <is>
          <t>Complete</t>
        </is>
      </c>
      <c r="B5" s="297">
        <f>COUNTIF('Complete-Partially-Pending'!B4:B200,"COMPLETE")</f>
        <v/>
      </c>
      <c r="C5" s="293" t="n"/>
      <c r="D5" s="293" t="n"/>
    </row>
    <row r="6">
      <c r="A6" s="297" t="inlineStr">
        <is>
          <t>Partial</t>
        </is>
      </c>
      <c r="B6" s="297">
        <f>COUNTIF('Complete-Partially-Pending'!B4:B200,"PARTIAL")</f>
        <v/>
      </c>
      <c r="C6" s="293" t="n"/>
      <c r="D6" s="293" t="n"/>
    </row>
    <row r="7">
      <c r="A7" s="297" t="inlineStr">
        <is>
          <t>Pending</t>
        </is>
      </c>
      <c r="B7" s="297">
        <f>COUNTIF('Complete-Partially-Pending'!B4:B200,"PENDING")</f>
        <v/>
      </c>
      <c r="C7" s="293" t="n"/>
      <c r="D7" s="293" t="n"/>
    </row>
    <row r="8">
      <c r="A8" s="297" t="inlineStr">
        <is>
          <t>Blocked</t>
        </is>
      </c>
      <c r="B8" s="297">
        <f>COUNTIF('Complete-Partially-Pending'!B4:B200,"BLOCKED")</f>
        <v/>
      </c>
      <c r="C8" s="293" t="n"/>
      <c r="D8" s="293" t="n"/>
    </row>
    <row r="9">
      <c r="A9" s="297" t="inlineStr">
        <is>
          <t>U1 State</t>
        </is>
      </c>
      <c r="B9" s="297" t="inlineStr">
        <is>
          <t>ENFORCED</t>
        </is>
      </c>
      <c r="C9" s="293" t="n"/>
      <c r="D9" s="293" t="n"/>
    </row>
    <row r="10">
      <c r="A10" s="297" t="inlineStr">
        <is>
          <t>U2 State</t>
        </is>
      </c>
      <c r="B10" s="297" t="inlineStr">
        <is>
          <t>PARTIAL</t>
        </is>
      </c>
      <c r="C10" s="293" t="n"/>
      <c r="D10" s="293" t="n"/>
    </row>
    <row r="11">
      <c r="A11" s="297" t="inlineStr">
        <is>
          <t>U3 State</t>
        </is>
      </c>
      <c r="B11" s="297" t="inlineStr">
        <is>
          <t>BLOCKED</t>
        </is>
      </c>
      <c r="C11" s="293" t="n"/>
      <c r="D11" s="293" t="n"/>
    </row>
    <row r="12">
      <c r="A12" s="271" t="inlineStr">
        <is>
          <t>2026-04-28 System State Reconciliation</t>
        </is>
      </c>
      <c r="B12" s="271" t="n"/>
      <c r="C12" s="271" t="n"/>
      <c r="D12" s="271" t="n"/>
    </row>
    <row r="13">
      <c r="A13" s="271" t="inlineStr">
        <is>
          <t>U1</t>
        </is>
      </c>
      <c r="B13" s="271" t="inlineStr">
        <is>
          <t>ENFORCED</t>
        </is>
      </c>
      <c r="C13" s="126" t="n"/>
      <c r="D13" s="126" t="n"/>
    </row>
    <row r="14">
      <c r="A14" s="271" t="inlineStr">
        <is>
          <t>U2</t>
        </is>
      </c>
      <c r="B14" s="271" t="inlineStr">
        <is>
          <t>PARTIAL / LIVE_PROOF_PENDING</t>
        </is>
      </c>
      <c r="C14" s="126" t="n"/>
      <c r="D14" s="126" t="n"/>
    </row>
    <row r="15">
      <c r="A15" s="271" t="inlineStr">
        <is>
          <t>U3</t>
        </is>
      </c>
      <c r="B15" s="271" t="inlineStr">
        <is>
          <t>BLOCKED</t>
        </is>
      </c>
      <c r="C15" s="126" t="n"/>
      <c r="D15" s="126" t="n"/>
    </row>
    <row r="16">
      <c r="A16" s="271" t="inlineStr">
        <is>
          <t>QUALITY</t>
        </is>
      </c>
      <c r="B16" s="271" t="inlineStr">
        <is>
          <t>NOT_ENFORCED</t>
        </is>
      </c>
      <c r="C16" s="126" t="n"/>
      <c r="D16" s="126" t="n"/>
    </row>
    <row r="17">
      <c r="A17" s="271" t="inlineStr">
        <is>
          <t>PASS1</t>
        </is>
      </c>
      <c r="B17" s="271" t="inlineStr">
        <is>
          <t>OPEN / BLOCKING under o3 1800-token reasoning exhaustion</t>
        </is>
      </c>
      <c r="C17" s="126" t="n"/>
      <c r="D17" s="126" t="n"/>
    </row>
    <row r="18">
      <c r="A18" s="271" t="inlineStr">
        <is>
          <t>NEXT</t>
        </is>
      </c>
      <c r="B18" s="271" t="inlineStr">
        <is>
          <t>Pass1 strategy → read-only trace job 3b5bc57a → quality acceptance gates</t>
        </is>
      </c>
      <c r="C18" s="126" t="n"/>
      <c r="D18" s="126" t="n"/>
    </row>
  </sheetData>
  <mergeCells count="1">
    <mergeCell ref="A1:D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  <col width="32" customWidth="1" style="213" min="7" max="7"/>
    <col width="32" customWidth="1" style="213" min="8" max="8"/>
  </cols>
  <sheetData>
    <row r="1">
      <c r="A1" s="266" t="inlineStr">
        <is>
          <t>source_workbook</t>
        </is>
      </c>
      <c r="B1" s="266" t="inlineStr">
        <is>
          <t>source_sheet</t>
        </is>
      </c>
      <c r="C1" s="266" t="inlineStr">
        <is>
          <t>target_sheet</t>
        </is>
      </c>
      <c r="D1" s="266" t="inlineStr">
        <is>
          <t>comparison_mode</t>
        </is>
      </c>
      <c r="E1" s="266" t="inlineStr">
        <is>
          <t>source_distinct_rows</t>
        </is>
      </c>
      <c r="F1" s="266" t="inlineStr">
        <is>
          <t>rows_already_present</t>
        </is>
      </c>
      <c r="G1" s="266" t="inlineStr">
        <is>
          <t>rows_appended</t>
        </is>
      </c>
      <c r="H1" s="266" t="inlineStr">
        <is>
          <t>rows_still_missing_after_merge</t>
        </is>
      </c>
    </row>
    <row r="2">
      <c r="A2" s="126" t="inlineStr">
        <is>
          <t>RevisionGrade_System_Ledger_CURRENT_V2-2.xlsx</t>
        </is>
      </c>
      <c r="B2" s="126" t="inlineStr">
        <is>
          <t>Complete-Partially-Pending</t>
        </is>
      </c>
      <c r="C2" s="126" t="inlineStr">
        <is>
          <t>Complete-Partially-Pending</t>
        </is>
      </c>
      <c r="D2" s="126" t="inlineStr">
        <is>
          <t>by_position_fullrow</t>
        </is>
      </c>
      <c r="E2" s="126" t="n">
        <v>18</v>
      </c>
      <c r="F2" s="126" t="n">
        <v>1</v>
      </c>
      <c r="G2" s="126" t="n">
        <v>17</v>
      </c>
      <c r="H2" s="126" t="n">
        <v>0</v>
      </c>
    </row>
    <row r="3">
      <c r="A3" s="126" t="inlineStr">
        <is>
          <t>RevisionGrade_System_Ledger_CURRENT_V2-2.xlsx</t>
        </is>
      </c>
      <c r="B3" s="126" t="inlineStr">
        <is>
          <t>README</t>
        </is>
      </c>
      <c r="C3" s="126" t="inlineStr">
        <is>
          <t>README</t>
        </is>
      </c>
      <c r="D3" s="126" t="inlineStr">
        <is>
          <t>by_position_fullrow</t>
        </is>
      </c>
      <c r="E3" s="126" t="n">
        <v>123</v>
      </c>
      <c r="F3" s="126" t="n">
        <v>0</v>
      </c>
      <c r="G3" s="126" t="n">
        <v>123</v>
      </c>
      <c r="H3" s="126" t="n">
        <v>0</v>
      </c>
    </row>
    <row r="4">
      <c r="A4" s="126" t="inlineStr">
        <is>
          <t>RevisionGrade_System_Ledger_CURRENT_V2-2.xlsx</t>
        </is>
      </c>
      <c r="B4" s="126" t="inlineStr">
        <is>
          <t>Doctrine</t>
        </is>
      </c>
      <c r="C4" s="126" t="inlineStr">
        <is>
          <t>Doctrine</t>
        </is>
      </c>
      <c r="D4" s="126" t="inlineStr">
        <is>
          <t>copy_sheet</t>
        </is>
      </c>
      <c r="E4" s="126" t="n">
        <v>9</v>
      </c>
      <c r="F4" s="126" t="n">
        <v>0</v>
      </c>
      <c r="G4" s="126" t="n">
        <v>9</v>
      </c>
      <c r="H4" s="126" t="n">
        <v>0</v>
      </c>
    </row>
    <row r="5">
      <c r="A5" s="126" t="inlineStr">
        <is>
          <t>RevisionGrade_System_Ledger_CURRENT_V2-2.xlsx</t>
        </is>
      </c>
      <c r="B5" s="126" t="inlineStr">
        <is>
          <t>Execution-Block</t>
        </is>
      </c>
      <c r="C5" s="126" t="inlineStr">
        <is>
          <t>EXECUTION_BLOCK</t>
        </is>
      </c>
      <c r="D5" s="126" t="inlineStr">
        <is>
          <t>by_position_fullrow</t>
        </is>
      </c>
      <c r="E5" s="126" t="n">
        <v>7</v>
      </c>
      <c r="F5" s="126" t="n">
        <v>1</v>
      </c>
      <c r="G5" s="126" t="n">
        <v>6</v>
      </c>
      <c r="H5" s="126" t="n">
        <v>0</v>
      </c>
    </row>
    <row r="6">
      <c r="A6" s="126" t="inlineStr">
        <is>
          <t>RevisionGrade_System_Ledger_CURRENT_V2-2.xlsx</t>
        </is>
      </c>
      <c r="B6" s="126" t="inlineStr">
        <is>
          <t>RCA-Batch-Plan</t>
        </is>
      </c>
      <c r="C6" s="126" t="inlineStr">
        <is>
          <t>RCA_BATCH_PLAN</t>
        </is>
      </c>
      <c r="D6" s="126" t="inlineStr">
        <is>
          <t>by_position_fullrow</t>
        </is>
      </c>
      <c r="E6" s="126" t="n">
        <v>13</v>
      </c>
      <c r="F6" s="126" t="n">
        <v>0</v>
      </c>
      <c r="G6" s="126" t="n">
        <v>13</v>
      </c>
      <c r="H6" s="126" t="n">
        <v>0</v>
      </c>
    </row>
    <row r="7">
      <c r="A7" s="126" t="inlineStr">
        <is>
          <t>RevisionGrade_System_Ledger_CURRENT_V2-2.xlsx</t>
        </is>
      </c>
      <c r="B7" s="126" t="inlineStr">
        <is>
          <t>RCA-Link-Map</t>
        </is>
      </c>
      <c r="C7" s="126" t="inlineStr">
        <is>
          <t>RCA_LINK_MAP</t>
        </is>
      </c>
      <c r="D7" s="126" t="inlineStr">
        <is>
          <t>by_position_fullrow</t>
        </is>
      </c>
      <c r="E7" s="126" t="n">
        <v>8</v>
      </c>
      <c r="F7" s="126" t="n">
        <v>1</v>
      </c>
      <c r="G7" s="126" t="n">
        <v>7</v>
      </c>
      <c r="H7" s="126" t="n">
        <v>0</v>
      </c>
    </row>
    <row r="8">
      <c r="A8" s="126" t="inlineStr">
        <is>
          <t>RevisionGrade_System_Ledger_CURRENT_V2-2.xlsx</t>
        </is>
      </c>
      <c r="B8" s="126" t="inlineStr">
        <is>
          <t>RCA-Script-Links</t>
        </is>
      </c>
      <c r="C8" s="126" t="inlineStr">
        <is>
          <t>RCA_SCRIPT_LINKS</t>
        </is>
      </c>
      <c r="D8" s="126" t="inlineStr">
        <is>
          <t>by_position_fullrow</t>
        </is>
      </c>
      <c r="E8" s="126" t="n">
        <v>8</v>
      </c>
      <c r="F8" s="126" t="n">
        <v>0</v>
      </c>
      <c r="G8" s="126" t="n">
        <v>8</v>
      </c>
      <c r="H8" s="126" t="n">
        <v>0</v>
      </c>
    </row>
    <row r="9">
      <c r="A9" s="126" t="inlineStr">
        <is>
          <t>RevisionGrade_System_Ledger_CURRENT_V2-2.xlsx</t>
        </is>
      </c>
      <c r="B9" s="126" t="inlineStr">
        <is>
          <t>Enforcement-Scale</t>
        </is>
      </c>
      <c r="C9" s="126" t="inlineStr">
        <is>
          <t>ENFORCEMENT_SCALE</t>
        </is>
      </c>
      <c r="D9" s="126" t="inlineStr">
        <is>
          <t>by_position_fullrow</t>
        </is>
      </c>
      <c r="E9" s="126" t="n">
        <v>7</v>
      </c>
      <c r="F9" s="126" t="n">
        <v>0</v>
      </c>
      <c r="G9" s="126" t="n">
        <v>7</v>
      </c>
      <c r="H9" s="126" t="n">
        <v>0</v>
      </c>
    </row>
    <row r="10">
      <c r="A10" s="126" t="inlineStr">
        <is>
          <t>RevisionGrade_System_Ledger_CURRENT_V2-2.xlsx</t>
        </is>
      </c>
      <c r="B10" s="126" t="inlineStr">
        <is>
          <t>E2E-Script-Map</t>
        </is>
      </c>
      <c r="C10" s="126" t="inlineStr">
        <is>
          <t>E2E_SCRIPT_MAP</t>
        </is>
      </c>
      <c r="D10" s="126" t="inlineStr">
        <is>
          <t>by_position_fullrow</t>
        </is>
      </c>
      <c r="E10" s="126" t="n">
        <v>6</v>
      </c>
      <c r="F10" s="126" t="n">
        <v>0</v>
      </c>
      <c r="G10" s="126" t="n">
        <v>6</v>
      </c>
      <c r="H10" s="126" t="n">
        <v>0</v>
      </c>
    </row>
    <row r="11">
      <c r="A11" s="126" t="inlineStr">
        <is>
          <t>RevisionGrade_System_Ledger_CURRENT_V2-2.xlsx</t>
        </is>
      </c>
      <c r="B11" s="126" t="inlineStr">
        <is>
          <t>Canon-Code-Map</t>
        </is>
      </c>
      <c r="C11" s="126" t="inlineStr">
        <is>
          <t>CANON_CODE_MAP</t>
        </is>
      </c>
      <c r="D11" s="126" t="inlineStr">
        <is>
          <t>by_position_fullrow</t>
        </is>
      </c>
      <c r="E11" s="126" t="n">
        <v>8</v>
      </c>
      <c r="F11" s="126" t="n">
        <v>0</v>
      </c>
      <c r="G11" s="126" t="n">
        <v>8</v>
      </c>
      <c r="H11" s="126" t="n">
        <v>0</v>
      </c>
    </row>
    <row r="12">
      <c r="A12" s="126" t="inlineStr">
        <is>
          <t>RevisionGrade_System_Ledger_CURRENT_V2-2.xlsx</t>
        </is>
      </c>
      <c r="B12" s="126" t="inlineStr">
        <is>
          <t>Change-Log</t>
        </is>
      </c>
      <c r="C12" s="126" t="inlineStr">
        <is>
          <t>Change-Log</t>
        </is>
      </c>
      <c r="D12" s="126" t="inlineStr">
        <is>
          <t>copy_sheet</t>
        </is>
      </c>
      <c r="E12" s="126" t="n">
        <v>7</v>
      </c>
      <c r="F12" s="126" t="n">
        <v>0</v>
      </c>
      <c r="G12" s="126" t="n">
        <v>7</v>
      </c>
      <c r="H12" s="126" t="n">
        <v>0</v>
      </c>
    </row>
    <row r="13">
      <c r="A13" s="126" t="inlineStr">
        <is>
          <t>RevisionGrade_System_Ledger_CURRENT_V2-2.xlsx</t>
        </is>
      </c>
      <c r="B13" s="126" t="inlineStr">
        <is>
          <t>Source-Index</t>
        </is>
      </c>
      <c r="C13" s="126" t="inlineStr">
        <is>
          <t>SOURCE_INDEX</t>
        </is>
      </c>
      <c r="D13" s="126" t="inlineStr">
        <is>
          <t>by_position_fullrow</t>
        </is>
      </c>
      <c r="E13" s="126" t="n">
        <v>9</v>
      </c>
      <c r="F13" s="126" t="n">
        <v>0</v>
      </c>
      <c r="G13" s="126" t="n">
        <v>9</v>
      </c>
      <c r="H13" s="126" t="n">
        <v>0</v>
      </c>
    </row>
    <row r="14">
      <c r="A14" s="126" t="inlineStr">
        <is>
          <t>RevisionGrade_System_Ledger_CURRENT_V2-2.xlsx</t>
        </is>
      </c>
      <c r="B14" s="126" t="inlineStr">
        <is>
          <t>Summary</t>
        </is>
      </c>
      <c r="C14" s="126" t="inlineStr">
        <is>
          <t>Summary</t>
        </is>
      </c>
      <c r="D14" s="126" t="inlineStr">
        <is>
          <t>copy_sheet</t>
        </is>
      </c>
      <c r="E14" s="126" t="n">
        <v>10</v>
      </c>
      <c r="F14" s="126" t="n">
        <v>0</v>
      </c>
      <c r="G14" s="126" t="n">
        <v>10</v>
      </c>
      <c r="H14" s="126" t="n">
        <v>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  <col width="32" customWidth="1" style="213" min="4" max="4"/>
    <col width="32" customWidth="1" style="213" min="5" max="5"/>
    <col width="32" customWidth="1" style="213" min="6" max="6"/>
  </cols>
  <sheetData>
    <row r="1">
      <c r="A1" s="266" t="inlineStr">
        <is>
          <t>source_workbook</t>
        </is>
      </c>
      <c r="B1" s="266" t="inlineStr">
        <is>
          <t>source_sheet</t>
        </is>
      </c>
      <c r="C1" s="266" t="inlineStr">
        <is>
          <t>target_sheet</t>
        </is>
      </c>
      <c r="D1" s="266" t="inlineStr">
        <is>
          <t>comparison_mode</t>
        </is>
      </c>
      <c r="E1" s="266" t="inlineStr">
        <is>
          <t>source_distinct_rows</t>
        </is>
      </c>
      <c r="F1" s="266" t="inlineStr">
        <is>
          <t>missing_rows</t>
        </is>
      </c>
    </row>
    <row r="2">
      <c r="A2" s="126" t="inlineStr">
        <is>
          <t>7ecf18e4-5751-4607-8667-5bb90ce767b6.xlsx</t>
        </is>
      </c>
      <c r="B2" s="126" t="inlineStr">
        <is>
          <t>README</t>
        </is>
      </c>
      <c r="C2" s="126" t="inlineStr">
        <is>
          <t>README</t>
        </is>
      </c>
      <c r="D2" s="126" t="inlineStr">
        <is>
          <t>by_headers</t>
        </is>
      </c>
      <c r="E2" s="126" t="n">
        <v>9</v>
      </c>
      <c r="F2" s="126" t="n">
        <v>0</v>
      </c>
    </row>
    <row r="3">
      <c r="A3" s="126" t="inlineStr">
        <is>
          <t>7ecf18e4-5751-4607-8667-5bb90ce767b6.xlsx</t>
        </is>
      </c>
      <c r="B3" s="126" t="inlineStr">
        <is>
          <t>Roadmap_System</t>
        </is>
      </c>
      <c r="C3" s="126" t="inlineStr">
        <is>
          <t>Roadmap_System</t>
        </is>
      </c>
      <c r="D3" s="126" t="inlineStr">
        <is>
          <t>by_headers</t>
        </is>
      </c>
      <c r="E3" s="126" t="n">
        <v>134</v>
      </c>
      <c r="F3" s="126" t="n">
        <v>0</v>
      </c>
    </row>
    <row r="4">
      <c r="A4" s="126" t="inlineStr">
        <is>
          <t>7ecf18e4-5751-4607-8667-5bb90ce767b6.xlsx</t>
        </is>
      </c>
      <c r="B4" s="126" t="inlineStr">
        <is>
          <t>Complete-Partially-Pending</t>
        </is>
      </c>
      <c r="C4" s="126" t="inlineStr">
        <is>
          <t>Complete-Partially-Pending</t>
        </is>
      </c>
      <c r="D4" s="126" t="inlineStr">
        <is>
          <t>by_headers</t>
        </is>
      </c>
      <c r="E4" s="126" t="n">
        <v>5</v>
      </c>
      <c r="F4" s="126" t="n">
        <v>0</v>
      </c>
    </row>
    <row r="5">
      <c r="A5" s="126" t="inlineStr">
        <is>
          <t>7ecf18e4-5751-4607-8667-5bb90ce767b6.xlsx</t>
        </is>
      </c>
      <c r="B5" s="126" t="inlineStr">
        <is>
          <t>CURRENT_STATE</t>
        </is>
      </c>
      <c r="C5" s="126" t="inlineStr">
        <is>
          <t>CURRENT_STATE</t>
        </is>
      </c>
      <c r="D5" s="126" t="inlineStr">
        <is>
          <t>by_headers</t>
        </is>
      </c>
      <c r="E5" s="126" t="n">
        <v>32</v>
      </c>
      <c r="F5" s="126" t="n">
        <v>0</v>
      </c>
    </row>
    <row r="6">
      <c r="A6" s="126" t="inlineStr">
        <is>
          <t>7ecf18e4-5751-4607-8667-5bb90ce767b6.xlsx</t>
        </is>
      </c>
      <c r="B6" s="126" t="inlineStr">
        <is>
          <t>U_GATES_ENFORCEMENT</t>
        </is>
      </c>
      <c r="C6" s="126" t="inlineStr">
        <is>
          <t>U_GATES_ENFORCEMENT</t>
        </is>
      </c>
      <c r="D6" s="126" t="inlineStr">
        <is>
          <t>by_headers</t>
        </is>
      </c>
      <c r="E6" s="126" t="n">
        <v>6</v>
      </c>
      <c r="F6" s="126" t="n">
        <v>0</v>
      </c>
    </row>
    <row r="7">
      <c r="A7" s="126" t="inlineStr">
        <is>
          <t>7ecf18e4-5751-4607-8667-5bb90ce767b6.xlsx</t>
        </is>
      </c>
      <c r="B7" s="126" t="inlineStr">
        <is>
          <t>EXECUTION_BLOCK</t>
        </is>
      </c>
      <c r="C7" s="126" t="inlineStr">
        <is>
          <t>EXECUTION_BLOCK</t>
        </is>
      </c>
      <c r="D7" s="126" t="inlineStr">
        <is>
          <t>by_headers</t>
        </is>
      </c>
      <c r="E7" s="126" t="n">
        <v>13</v>
      </c>
      <c r="F7" s="126" t="n">
        <v>0</v>
      </c>
    </row>
    <row r="8">
      <c r="A8" s="126" t="inlineStr">
        <is>
          <t>7ecf18e4-5751-4607-8667-5bb90ce767b6.xlsx</t>
        </is>
      </c>
      <c r="B8" s="126" t="inlineStr">
        <is>
          <t>ROADMAP_LANES</t>
        </is>
      </c>
      <c r="C8" s="126" t="inlineStr">
        <is>
          <t>ROADMAP_LANES</t>
        </is>
      </c>
      <c r="D8" s="126" t="inlineStr">
        <is>
          <t>by_headers</t>
        </is>
      </c>
      <c r="E8" s="126" t="n">
        <v>13</v>
      </c>
      <c r="F8" s="126" t="n">
        <v>0</v>
      </c>
    </row>
    <row r="9">
      <c r="A9" s="126" t="inlineStr">
        <is>
          <t>7ecf18e4-5751-4607-8667-5bb90ce767b6.xlsx</t>
        </is>
      </c>
      <c r="B9" s="126" t="inlineStr">
        <is>
          <t>CANON_CODE_MAP</t>
        </is>
      </c>
      <c r="C9" s="126" t="inlineStr">
        <is>
          <t>CANON_CODE_MAP</t>
        </is>
      </c>
      <c r="D9" s="126" t="inlineStr">
        <is>
          <t>by_headers</t>
        </is>
      </c>
      <c r="E9" s="126" t="n">
        <v>14</v>
      </c>
      <c r="F9" s="126" t="n">
        <v>0</v>
      </c>
    </row>
    <row r="10">
      <c r="A10" s="126" t="inlineStr">
        <is>
          <t>7ecf18e4-5751-4607-8667-5bb90ce767b6.xlsx</t>
        </is>
      </c>
      <c r="B10" s="126" t="inlineStr">
        <is>
          <t>SOURCE_INDEX</t>
        </is>
      </c>
      <c r="C10" s="126" t="inlineStr">
        <is>
          <t>SOURCE_INDEX</t>
        </is>
      </c>
      <c r="D10" s="126" t="inlineStr">
        <is>
          <t>by_headers</t>
        </is>
      </c>
      <c r="E10" s="126" t="n">
        <v>21</v>
      </c>
      <c r="F10" s="126" t="n">
        <v>0</v>
      </c>
    </row>
    <row r="11">
      <c r="A11" s="126" t="inlineStr">
        <is>
          <t>7ecf18e4-5751-4607-8667-5bb90ce767b6.xlsx</t>
        </is>
      </c>
      <c r="B11" s="126" t="inlineStr">
        <is>
          <t>ROADMAP_ARCHIVE_KEY</t>
        </is>
      </c>
      <c r="C11" s="126" t="inlineStr">
        <is>
          <t>ROADMAP_ARCHIVE_KEY</t>
        </is>
      </c>
      <c r="D11" s="126" t="inlineStr">
        <is>
          <t>by_headers</t>
        </is>
      </c>
      <c r="E11" s="126" t="n">
        <v>9</v>
      </c>
      <c r="F11" s="126" t="n">
        <v>0</v>
      </c>
    </row>
    <row r="12">
      <c r="A12" s="126" t="inlineStr">
        <is>
          <t>7ecf18e4-5751-4607-8667-5bb90ce767b6.xlsx</t>
        </is>
      </c>
      <c r="B12" s="126" t="inlineStr">
        <is>
          <t>ROOT_CAUSE_ANALYSIS</t>
        </is>
      </c>
      <c r="C12" s="126" t="inlineStr">
        <is>
          <t>ROOT_CAUSE_ANALYSIS</t>
        </is>
      </c>
      <c r="D12" s="126" t="inlineStr">
        <is>
          <t>by_headers</t>
        </is>
      </c>
      <c r="E12" s="126" t="n">
        <v>12</v>
      </c>
      <c r="F12" s="126" t="n">
        <v>0</v>
      </c>
    </row>
    <row r="13">
      <c r="A13" s="126" t="inlineStr">
        <is>
          <t>7ecf18e4-5751-4607-8667-5bb90ce767b6.xlsx</t>
        </is>
      </c>
      <c r="B13" s="126" t="inlineStr">
        <is>
          <t>E2E_SCRIPT_MAP</t>
        </is>
      </c>
      <c r="C13" s="126" t="inlineStr">
        <is>
          <t>E2E_SCRIPT_MAP</t>
        </is>
      </c>
      <c r="D13" s="126" t="inlineStr">
        <is>
          <t>by_headers</t>
        </is>
      </c>
      <c r="E13" s="126" t="n">
        <v>10</v>
      </c>
      <c r="F13" s="126" t="n">
        <v>0</v>
      </c>
    </row>
    <row r="14">
      <c r="A14" s="126" t="inlineStr">
        <is>
          <t>7ecf18e4-5751-4607-8667-5bb90ce767b6.xlsx</t>
        </is>
      </c>
      <c r="B14" s="126" t="inlineStr">
        <is>
          <t>RCA_SCRIPT_LINKS</t>
        </is>
      </c>
      <c r="C14" s="126" t="inlineStr">
        <is>
          <t>RCA_SCRIPT_LINKS</t>
        </is>
      </c>
      <c r="D14" s="126" t="inlineStr">
        <is>
          <t>by_headers</t>
        </is>
      </c>
      <c r="E14" s="126" t="n">
        <v>23</v>
      </c>
      <c r="F14" s="126" t="n">
        <v>0</v>
      </c>
    </row>
    <row r="15">
      <c r="A15" s="126" t="inlineStr">
        <is>
          <t>7ecf18e4-5751-4607-8667-5bb90ce767b6.xlsx</t>
        </is>
      </c>
      <c r="B15" s="126" t="inlineStr">
        <is>
          <t>RCA_BATCH_PLAN</t>
        </is>
      </c>
      <c r="C15" s="126" t="inlineStr">
        <is>
          <t>RCA_BATCH_PLAN</t>
        </is>
      </c>
      <c r="D15" s="126" t="inlineStr">
        <is>
          <t>by_headers</t>
        </is>
      </c>
      <c r="E15" s="126" t="n">
        <v>9</v>
      </c>
      <c r="F15" s="126" t="n">
        <v>0</v>
      </c>
    </row>
    <row r="16">
      <c r="A16" s="126" t="inlineStr">
        <is>
          <t>7ecf18e4-5751-4607-8667-5bb90ce767b6.xlsx</t>
        </is>
      </c>
      <c r="B16" s="126" t="inlineStr">
        <is>
          <t>ENFORCEMENT_SCALE</t>
        </is>
      </c>
      <c r="C16" s="126" t="inlineStr">
        <is>
          <t>ENFORCEMENT_SCALE</t>
        </is>
      </c>
      <c r="D16" s="126" t="inlineStr">
        <is>
          <t>by_headers</t>
        </is>
      </c>
      <c r="E16" s="126" t="n">
        <v>9</v>
      </c>
      <c r="F16" s="126" t="n">
        <v>0</v>
      </c>
    </row>
    <row r="17">
      <c r="A17" s="126" t="inlineStr">
        <is>
          <t>7ecf18e4-5751-4607-8667-5bb90ce767b6.xlsx</t>
        </is>
      </c>
      <c r="B17" s="126" t="inlineStr">
        <is>
          <t>RCA_LINK_MAP</t>
        </is>
      </c>
      <c r="C17" s="126" t="inlineStr">
        <is>
          <t>RCA_LINK_MAP</t>
        </is>
      </c>
      <c r="D17" s="126" t="inlineStr">
        <is>
          <t>by_headers</t>
        </is>
      </c>
      <c r="E17" s="126" t="n">
        <v>31</v>
      </c>
      <c r="F17" s="126" t="n">
        <v>0</v>
      </c>
    </row>
    <row r="18">
      <c r="A18" s="126" t="inlineStr">
        <is>
          <t>7ecf18e4-5751-4607-8667-5bb90ce767b6.xlsx</t>
        </is>
      </c>
      <c r="B18" s="126" t="inlineStr">
        <is>
          <t>VERIFICATION_ARTIFACTS</t>
        </is>
      </c>
      <c r="C18" s="126" t="inlineStr">
        <is>
          <t>VERIFICATION_ARTIFACTS</t>
        </is>
      </c>
      <c r="D18" s="126" t="inlineStr">
        <is>
          <t>by_headers</t>
        </is>
      </c>
      <c r="E18" s="126" t="n">
        <v>4</v>
      </c>
      <c r="F18" s="126" t="n">
        <v>0</v>
      </c>
    </row>
    <row r="19">
      <c r="A19" s="126" t="inlineStr">
        <is>
          <t>8d726761-85f3-4c40-83b0-e50ddf8ac2fc.xlsx</t>
        </is>
      </c>
      <c r="B19" s="126" t="inlineStr">
        <is>
          <t>Complete-Partially-Pending</t>
        </is>
      </c>
      <c r="C19" s="126" t="inlineStr">
        <is>
          <t>Complete-Partially-Pending</t>
        </is>
      </c>
      <c r="D19" s="126" t="inlineStr">
        <is>
          <t>by_position_fullrow</t>
        </is>
      </c>
      <c r="E19" s="126" t="n">
        <v>18</v>
      </c>
      <c r="F19" s="126" t="n">
        <v>0</v>
      </c>
    </row>
    <row r="20">
      <c r="A20" s="126" t="inlineStr">
        <is>
          <t>8d726761-85f3-4c40-83b0-e50ddf8ac2fc.xlsx</t>
        </is>
      </c>
      <c r="B20" s="126" t="inlineStr">
        <is>
          <t>README</t>
        </is>
      </c>
      <c r="C20" s="126" t="inlineStr">
        <is>
          <t>README</t>
        </is>
      </c>
      <c r="D20" s="126" t="inlineStr">
        <is>
          <t>by_position_fullrow</t>
        </is>
      </c>
      <c r="E20" s="126" t="n">
        <v>123</v>
      </c>
      <c r="F20" s="126" t="n">
        <v>0</v>
      </c>
    </row>
    <row r="21">
      <c r="A21" s="126" t="inlineStr">
        <is>
          <t>8d726761-85f3-4c40-83b0-e50ddf8ac2fc.xlsx</t>
        </is>
      </c>
      <c r="B21" s="126" t="inlineStr">
        <is>
          <t>Doctrine</t>
        </is>
      </c>
      <c r="C21" s="126" t="inlineStr">
        <is>
          <t>Doctrine</t>
        </is>
      </c>
      <c r="D21" s="126" t="inlineStr">
        <is>
          <t>by_headers</t>
        </is>
      </c>
      <c r="E21" s="126" t="n">
        <v>9</v>
      </c>
      <c r="F21" s="126" t="n">
        <v>0</v>
      </c>
    </row>
    <row r="22">
      <c r="A22" s="126" t="inlineStr">
        <is>
          <t>8d726761-85f3-4c40-83b0-e50ddf8ac2fc.xlsx</t>
        </is>
      </c>
      <c r="B22" s="126" t="inlineStr">
        <is>
          <t>Execution-Block</t>
        </is>
      </c>
      <c r="C22" s="126" t="inlineStr">
        <is>
          <t>EXECUTION_BLOCK</t>
        </is>
      </c>
      <c r="D22" s="126" t="inlineStr">
        <is>
          <t>by_position_fullrow</t>
        </is>
      </c>
      <c r="E22" s="126" t="n">
        <v>7</v>
      </c>
      <c r="F22" s="126" t="n">
        <v>0</v>
      </c>
    </row>
    <row r="23">
      <c r="A23" s="126" t="inlineStr">
        <is>
          <t>8d726761-85f3-4c40-83b0-e50ddf8ac2fc.xlsx</t>
        </is>
      </c>
      <c r="B23" s="126" t="inlineStr">
        <is>
          <t>RCA-Batch-Plan</t>
        </is>
      </c>
      <c r="C23" s="126" t="inlineStr">
        <is>
          <t>RCA_BATCH_PLAN</t>
        </is>
      </c>
      <c r="D23" s="126" t="inlineStr">
        <is>
          <t>by_position_fullrow</t>
        </is>
      </c>
      <c r="E23" s="126" t="n">
        <v>13</v>
      </c>
      <c r="F23" s="126" t="n">
        <v>0</v>
      </c>
    </row>
    <row r="24">
      <c r="A24" s="126" t="inlineStr">
        <is>
          <t>8d726761-85f3-4c40-83b0-e50ddf8ac2fc.xlsx</t>
        </is>
      </c>
      <c r="B24" s="126" t="inlineStr">
        <is>
          <t>RCA-Link-Map</t>
        </is>
      </c>
      <c r="C24" s="126" t="inlineStr">
        <is>
          <t>RCA_LINK_MAP</t>
        </is>
      </c>
      <c r="D24" s="126" t="inlineStr">
        <is>
          <t>by_position_fullrow</t>
        </is>
      </c>
      <c r="E24" s="126" t="n">
        <v>8</v>
      </c>
      <c r="F24" s="126" t="n">
        <v>0</v>
      </c>
    </row>
    <row r="25">
      <c r="A25" s="126" t="inlineStr">
        <is>
          <t>8d726761-85f3-4c40-83b0-e50ddf8ac2fc.xlsx</t>
        </is>
      </c>
      <c r="B25" s="126" t="inlineStr">
        <is>
          <t>RCA-Script-Links</t>
        </is>
      </c>
      <c r="C25" s="126" t="inlineStr">
        <is>
          <t>RCA_SCRIPT_LINKS</t>
        </is>
      </c>
      <c r="D25" s="126" t="inlineStr">
        <is>
          <t>by_position_fullrow</t>
        </is>
      </c>
      <c r="E25" s="126" t="n">
        <v>8</v>
      </c>
      <c r="F25" s="126" t="n">
        <v>0</v>
      </c>
    </row>
    <row r="26">
      <c r="A26" s="126" t="inlineStr">
        <is>
          <t>8d726761-85f3-4c40-83b0-e50ddf8ac2fc.xlsx</t>
        </is>
      </c>
      <c r="B26" s="126" t="inlineStr">
        <is>
          <t>Enforcement-Scale</t>
        </is>
      </c>
      <c r="C26" s="126" t="inlineStr">
        <is>
          <t>ENFORCEMENT_SCALE</t>
        </is>
      </c>
      <c r="D26" s="126" t="inlineStr">
        <is>
          <t>by_position_fullrow</t>
        </is>
      </c>
      <c r="E26" s="126" t="n">
        <v>7</v>
      </c>
      <c r="F26" s="126" t="n">
        <v>0</v>
      </c>
    </row>
    <row r="27">
      <c r="A27" s="126" t="inlineStr">
        <is>
          <t>8d726761-85f3-4c40-83b0-e50ddf8ac2fc.xlsx</t>
        </is>
      </c>
      <c r="B27" s="126" t="inlineStr">
        <is>
          <t>E2E-Script-Map</t>
        </is>
      </c>
      <c r="C27" s="126" t="inlineStr">
        <is>
          <t>E2E_SCRIPT_MAP</t>
        </is>
      </c>
      <c r="D27" s="126" t="inlineStr">
        <is>
          <t>by_position_fullrow</t>
        </is>
      </c>
      <c r="E27" s="126" t="n">
        <v>6</v>
      </c>
      <c r="F27" s="126" t="n">
        <v>0</v>
      </c>
    </row>
    <row r="28">
      <c r="A28" s="126" t="inlineStr">
        <is>
          <t>8d726761-85f3-4c40-83b0-e50ddf8ac2fc.xlsx</t>
        </is>
      </c>
      <c r="B28" s="126" t="inlineStr">
        <is>
          <t>Canon-Code-Map</t>
        </is>
      </c>
      <c r="C28" s="126" t="inlineStr">
        <is>
          <t>CANON_CODE_MAP</t>
        </is>
      </c>
      <c r="D28" s="126" t="inlineStr">
        <is>
          <t>by_position_fullrow</t>
        </is>
      </c>
      <c r="E28" s="126" t="n">
        <v>8</v>
      </c>
      <c r="F28" s="126" t="n">
        <v>0</v>
      </c>
    </row>
    <row r="29">
      <c r="A29" s="126" t="inlineStr">
        <is>
          <t>8d726761-85f3-4c40-83b0-e50ddf8ac2fc.xlsx</t>
        </is>
      </c>
      <c r="B29" s="126" t="inlineStr">
        <is>
          <t>Change-Log</t>
        </is>
      </c>
      <c r="C29" s="126" t="inlineStr">
        <is>
          <t>Change-Log</t>
        </is>
      </c>
      <c r="D29" s="126" t="inlineStr">
        <is>
          <t>by_headers</t>
        </is>
      </c>
      <c r="E29" s="126" t="n">
        <v>3</v>
      </c>
      <c r="F29" s="126" t="n">
        <v>0</v>
      </c>
    </row>
    <row r="30">
      <c r="A30" s="126" t="inlineStr">
        <is>
          <t>8d726761-85f3-4c40-83b0-e50ddf8ac2fc.xlsx</t>
        </is>
      </c>
      <c r="B30" s="126" t="inlineStr">
        <is>
          <t>Source-Index</t>
        </is>
      </c>
      <c r="C30" s="126" t="inlineStr">
        <is>
          <t>SOURCE_INDEX</t>
        </is>
      </c>
      <c r="D30" s="126" t="inlineStr">
        <is>
          <t>by_position_fullrow</t>
        </is>
      </c>
      <c r="E30" s="126" t="n">
        <v>9</v>
      </c>
      <c r="F30" s="126" t="n">
        <v>0</v>
      </c>
    </row>
    <row r="31">
      <c r="A31" s="126" t="inlineStr">
        <is>
          <t>8d726761-85f3-4c40-83b0-e50ddf8ac2fc.xlsx</t>
        </is>
      </c>
      <c r="B31" s="126" t="inlineStr">
        <is>
          <t>Summary</t>
        </is>
      </c>
      <c r="C31" s="126" t="inlineStr">
        <is>
          <t>Summary</t>
        </is>
      </c>
      <c r="D31" s="126" t="inlineStr">
        <is>
          <t>by_headers</t>
        </is>
      </c>
      <c r="E31" s="126" t="n">
        <v>10</v>
      </c>
      <c r="F31" s="126" t="n">
        <v>0</v>
      </c>
    </row>
    <row r="32">
      <c r="A32" s="126" t="n"/>
      <c r="B32" s="126" t="n"/>
      <c r="C32" s="126" t="n"/>
      <c r="D32" s="126" t="n"/>
      <c r="E32" s="126" t="n"/>
      <c r="F32" s="126" t="n"/>
    </row>
    <row r="33">
      <c r="A33" s="126" t="inlineStr">
        <is>
          <t>TOTAL missing from 7ecf18e4-5751-4607-8667-5bb90ce767b6.xlsx</t>
        </is>
      </c>
      <c r="B33" s="126" t="n">
        <v>0</v>
      </c>
      <c r="C33" s="126" t="n"/>
      <c r="D33" s="126" t="n"/>
      <c r="E33" s="126" t="n"/>
      <c r="F33" s="126" t="n"/>
    </row>
    <row r="34">
      <c r="A34" s="126" t="inlineStr">
        <is>
          <t>TOTAL missing from 8d726761-85f3-4c40-83b0-e50ddf8ac2fc.xlsx</t>
        </is>
      </c>
      <c r="B34" s="126" t="n">
        <v>0</v>
      </c>
      <c r="C34" s="126" t="n"/>
      <c r="D34" s="126" t="n"/>
      <c r="E34" s="126" t="n"/>
      <c r="F34" s="12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8" customWidth="1" style="213" min="1" max="1"/>
    <col width="18" customWidth="1" style="213" min="2" max="2"/>
    <col width="32" customWidth="1" style="213" min="3" max="3"/>
  </cols>
  <sheetData>
    <row r="1">
      <c r="A1" s="266" t="inlineStr">
        <is>
          <t>error_marker_count</t>
        </is>
      </c>
      <c r="B1" s="266" t="n">
        <v>0</v>
      </c>
      <c r="C1" s="266" t="n"/>
    </row>
    <row r="2">
      <c r="A2" s="126" t="inlineStr">
        <is>
          <t>sheet</t>
        </is>
      </c>
      <c r="B2" s="126" t="inlineStr">
        <is>
          <t>cell</t>
        </is>
      </c>
      <c r="C2" s="126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2026-04-28T21:47:23Z</dcterms:created>
  <dcterms:modified xmlns:dcterms="http://purl.org/dc/terms/" xmlns:xsi="http://www.w3.org/2001/XMLSchema-instance" xsi:type="dcterms:W3CDTF">2026-04-28T22:07:19Z</dcterms:modified>
</cp:coreProperties>
</file>